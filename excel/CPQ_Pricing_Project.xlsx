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TW_2025\tiered-pricing-discount-engine\excel\"/>
    </mc:Choice>
  </mc:AlternateContent>
  <xr:revisionPtr revIDLastSave="0" documentId="13_ncr:1_{A254C7E8-9BC8-4151-BB40-3B55E07C68E2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Customers" sheetId="1" r:id="rId1"/>
    <sheet name="Products" sheetId="2" r:id="rId2"/>
    <sheet name="PricingRules" sheetId="3" r:id="rId3"/>
    <sheet name="Orders" sheetId="4" r:id="rId4"/>
    <sheet name="OrderLines" sheetId="5" r:id="rId5"/>
    <sheet name="Calculations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" i="6"/>
</calcChain>
</file>

<file path=xl/sharedStrings.xml><?xml version="1.0" encoding="utf-8"?>
<sst xmlns="http://schemas.openxmlformats.org/spreadsheetml/2006/main" count="115" uniqueCount="66">
  <si>
    <t>CustomerID</t>
  </si>
  <si>
    <t>CustomerName</t>
  </si>
  <si>
    <t>Tier</t>
  </si>
  <si>
    <t>Apex Manufacturing Co</t>
  </si>
  <si>
    <t>Gold</t>
  </si>
  <si>
    <t>Blue Ridge Industrial</t>
  </si>
  <si>
    <t>Summit Logistics Group</t>
  </si>
  <si>
    <t>Northgate Equipment</t>
  </si>
  <si>
    <t>Riverside Hardware Ltd</t>
  </si>
  <si>
    <t>Silver</t>
  </si>
  <si>
    <t>Coastal Supply Partners</t>
  </si>
  <si>
    <t>Midwest Fabricators</t>
  </si>
  <si>
    <t>Daybreak Tools Inc</t>
  </si>
  <si>
    <t>Bronze</t>
  </si>
  <si>
    <t>Garrison Components</t>
  </si>
  <si>
    <t>Trailhead Equipment Co</t>
  </si>
  <si>
    <t>ProductID</t>
  </si>
  <si>
    <t>ProductName</t>
  </si>
  <si>
    <t>ListPrice</t>
  </si>
  <si>
    <t>Cost</t>
  </si>
  <si>
    <t>Hydraulic Pump Unit</t>
  </si>
  <si>
    <t>Industrial Valve Assembly</t>
  </si>
  <si>
    <t>Steel Bearing Set</t>
  </si>
  <si>
    <t>Conveyor Belt Motor</t>
  </si>
  <si>
    <t>Pressure Sensor Module</t>
  </si>
  <si>
    <t>Safety Relay Switch</t>
  </si>
  <si>
    <t>Heavy-Duty Gearbox</t>
  </si>
  <si>
    <t>Control Panel Enclosure</t>
  </si>
  <si>
    <t>Pneumatic Cylinder</t>
  </si>
  <si>
    <t>Lubrication Dispenser Kit</t>
  </si>
  <si>
    <t>RuleID</t>
  </si>
  <si>
    <t>MinQty</t>
  </si>
  <si>
    <t>MaxQty</t>
  </si>
  <si>
    <t>DiscountPercent</t>
  </si>
  <si>
    <t>OrderID</t>
  </si>
  <si>
    <t>OrderDate</t>
  </si>
  <si>
    <t>2026-01-05</t>
  </si>
  <si>
    <t>2026-01-08</t>
  </si>
  <si>
    <t>2026-01-10</t>
  </si>
  <si>
    <t>2026-01-12</t>
  </si>
  <si>
    <t>2026-01-15</t>
  </si>
  <si>
    <t>2026-01-18</t>
  </si>
  <si>
    <t>2026-01-20</t>
  </si>
  <si>
    <t>2026-01-22</t>
  </si>
  <si>
    <t>2026-01-25</t>
  </si>
  <si>
    <t>2026-01-28</t>
  </si>
  <si>
    <t>2026-02-02</t>
  </si>
  <si>
    <t>2026-02-05</t>
  </si>
  <si>
    <t>2026-02-08</t>
  </si>
  <si>
    <t>2026-02-10</t>
  </si>
  <si>
    <t>2026-02-14</t>
  </si>
  <si>
    <t>Quantity</t>
  </si>
  <si>
    <t>NetPrice</t>
  </si>
  <si>
    <t>Margin</t>
  </si>
  <si>
    <t>ApprovalFlag</t>
  </si>
  <si>
    <t>LookupKey</t>
  </si>
  <si>
    <t>lookupkey</t>
  </si>
  <si>
    <t>Gold-1-9</t>
  </si>
  <si>
    <t>Gold-10-49</t>
  </si>
  <si>
    <t>Gold-50-9999</t>
  </si>
  <si>
    <t>Silver-1-9</t>
  </si>
  <si>
    <t>Silver-10-49</t>
  </si>
  <si>
    <t>Silver-50-9999</t>
  </si>
  <si>
    <t>Bronze-1-9</t>
  </si>
  <si>
    <t>Bronze-10-49</t>
  </si>
  <si>
    <t>Bronze-50-9999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</si>
</sst>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rgb="FFFFFFFF"/>
      <name val="Calibri Light"/>
      <family val="2"/>
    </font>
    <font>
      <sz val="11"/>
      <color theme="1"/>
      <name val="Calibri Light"/>
      <family val="2"/>
    </font>
    <font>
      <sz val="1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zoomScaleNormal="100" workbookViewId="0">
      <pane ySplit="1" topLeftCell="A2" activePane="bottomLeft" state="frozen"/>
      <selection pane="bottomLeft" activeCell="E14" sqref="E14"/>
    </sheetView>
  </sheetViews>
  <sheetFormatPr defaultColWidth="24.109375" defaultRowHeight="14.4" x14ac:dyDescent="0.3"/>
  <cols>
    <col min="1" max="1" width="10.44140625" style="2" bestFit="1" customWidth="1"/>
    <col min="2" max="2" width="20.21875" style="2" bestFit="1" customWidth="1"/>
    <col min="3" max="3" width="6.5546875" style="2" bestFit="1" customWidth="1"/>
    <col min="4" max="4" width="4.5546875" style="2" bestFit="1" customWidth="1"/>
    <col min="5" max="16384" width="24.1093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>
        <v>1</v>
      </c>
      <c r="B2" s="3" t="s">
        <v>3</v>
      </c>
      <c r="C2" s="3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3">
      <c r="A3" s="3">
        <v>2</v>
      </c>
      <c r="B3" s="3" t="s">
        <v>5</v>
      </c>
      <c r="C3" s="3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3">
      <c r="A4" s="3">
        <v>3</v>
      </c>
      <c r="B4" s="3" t="s">
        <v>6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">
      <c r="A5" s="3">
        <v>4</v>
      </c>
      <c r="B5" s="3" t="s">
        <v>7</v>
      </c>
      <c r="C5" s="3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3">
      <c r="A6" s="3">
        <v>5</v>
      </c>
      <c r="B6" s="3" t="s">
        <v>8</v>
      </c>
      <c r="C6" s="3" t="s">
        <v>9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3">
      <c r="A7" s="3">
        <v>6</v>
      </c>
      <c r="B7" s="3" t="s">
        <v>10</v>
      </c>
      <c r="C7" s="3" t="s">
        <v>9</v>
      </c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s="3">
        <v>7</v>
      </c>
      <c r="B8" s="3" t="s">
        <v>11</v>
      </c>
      <c r="C8" s="3" t="s">
        <v>9</v>
      </c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3">
      <c r="A9" s="3">
        <v>8</v>
      </c>
      <c r="B9" s="3" t="s">
        <v>12</v>
      </c>
      <c r="C9" s="3" t="s">
        <v>13</v>
      </c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3">
      <c r="A10" s="3">
        <v>9</v>
      </c>
      <c r="B10" s="3" t="s">
        <v>14</v>
      </c>
      <c r="C10" s="3" t="s">
        <v>13</v>
      </c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3">
      <c r="A11" s="3">
        <v>10</v>
      </c>
      <c r="B11" s="3" t="s">
        <v>15</v>
      </c>
      <c r="C11" s="3" t="s">
        <v>13</v>
      </c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">
      <c r="A12" s="3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3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">
      <c r="A14" s="3"/>
      <c r="B14" s="3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">
      <c r="A15" s="3"/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s="3"/>
      <c r="B16" s="3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">
      <c r="A17" s="3"/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">
      <c r="A18" s="3"/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">
      <c r="A19" s="3"/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3">
      <c r="A20" s="3"/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zoomScaleNormal="100" workbookViewId="0">
      <pane ySplit="1" topLeftCell="A2" activePane="bottomLeft" state="frozen"/>
      <selection pane="bottomLeft" activeCell="B21" sqref="B21"/>
    </sheetView>
  </sheetViews>
  <sheetFormatPr defaultColWidth="24.109375" defaultRowHeight="14.4" x14ac:dyDescent="0.3"/>
  <cols>
    <col min="1" max="1" width="8.88671875" style="2" bestFit="1" customWidth="1"/>
    <col min="2" max="2" width="21.44140625" style="2" bestFit="1" customWidth="1"/>
    <col min="3" max="3" width="12.44140625" style="2" customWidth="1"/>
    <col min="4" max="4" width="9.44140625" style="2" customWidth="1"/>
    <col min="5" max="16384" width="24.109375" style="2"/>
  </cols>
  <sheetData>
    <row r="1" spans="1:13" x14ac:dyDescent="0.3">
      <c r="A1" s="1" t="s">
        <v>16</v>
      </c>
      <c r="B1" s="1" t="s">
        <v>17</v>
      </c>
      <c r="C1" s="1" t="s">
        <v>18</v>
      </c>
      <c r="D1" s="1" t="s">
        <v>19</v>
      </c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>
        <v>101</v>
      </c>
      <c r="B2" s="3" t="s">
        <v>20</v>
      </c>
      <c r="C2" s="3">
        <v>1200</v>
      </c>
      <c r="D2" s="4">
        <v>720</v>
      </c>
      <c r="E2" s="4"/>
      <c r="F2" s="4"/>
      <c r="G2" s="4"/>
      <c r="H2" s="4"/>
      <c r="I2" s="4"/>
      <c r="J2" s="4"/>
      <c r="K2" s="4"/>
      <c r="L2" s="4"/>
      <c r="M2" s="4"/>
    </row>
    <row r="3" spans="1:13" x14ac:dyDescent="0.3">
      <c r="A3" s="3">
        <v>102</v>
      </c>
      <c r="B3" s="3" t="s">
        <v>21</v>
      </c>
      <c r="C3" s="3">
        <v>450</v>
      </c>
      <c r="D3" s="4">
        <v>270</v>
      </c>
      <c r="E3" s="4"/>
      <c r="F3" s="4"/>
      <c r="G3" s="4"/>
      <c r="H3" s="4"/>
      <c r="I3" s="4"/>
      <c r="J3" s="4"/>
      <c r="K3" s="4"/>
      <c r="L3" s="4"/>
      <c r="M3" s="4"/>
    </row>
    <row r="4" spans="1:13" x14ac:dyDescent="0.3">
      <c r="A4" s="3">
        <v>103</v>
      </c>
      <c r="B4" s="3" t="s">
        <v>22</v>
      </c>
      <c r="C4" s="3">
        <v>85</v>
      </c>
      <c r="D4" s="4">
        <v>48</v>
      </c>
      <c r="E4" s="4"/>
      <c r="F4" s="4"/>
      <c r="G4" s="4"/>
      <c r="H4" s="4"/>
      <c r="I4" s="4"/>
      <c r="J4" s="4"/>
      <c r="K4" s="4"/>
      <c r="L4" s="4"/>
      <c r="M4" s="4"/>
    </row>
    <row r="5" spans="1:13" x14ac:dyDescent="0.3">
      <c r="A5" s="3">
        <v>104</v>
      </c>
      <c r="B5" s="3" t="s">
        <v>23</v>
      </c>
      <c r="C5" s="3">
        <v>980</v>
      </c>
      <c r="D5" s="4">
        <v>610</v>
      </c>
      <c r="E5" s="4"/>
      <c r="F5" s="4"/>
      <c r="G5" s="4"/>
      <c r="H5" s="4"/>
      <c r="I5" s="4"/>
      <c r="J5" s="4"/>
      <c r="K5" s="4"/>
      <c r="L5" s="4"/>
      <c r="M5" s="4"/>
    </row>
    <row r="6" spans="1:13" x14ac:dyDescent="0.3">
      <c r="A6" s="3">
        <v>105</v>
      </c>
      <c r="B6" s="3" t="s">
        <v>24</v>
      </c>
      <c r="C6" s="3">
        <v>210</v>
      </c>
      <c r="D6" s="4">
        <v>115</v>
      </c>
      <c r="E6" s="4"/>
      <c r="F6" s="4"/>
      <c r="G6" s="4"/>
      <c r="H6" s="4"/>
      <c r="I6" s="4"/>
      <c r="J6" s="4"/>
      <c r="K6" s="4"/>
      <c r="L6" s="4"/>
      <c r="M6" s="4"/>
    </row>
    <row r="7" spans="1:13" x14ac:dyDescent="0.3">
      <c r="A7" s="3">
        <v>106</v>
      </c>
      <c r="B7" s="3" t="s">
        <v>25</v>
      </c>
      <c r="C7" s="3">
        <v>65</v>
      </c>
      <c r="D7" s="4">
        <v>34</v>
      </c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s="3">
        <v>107</v>
      </c>
      <c r="B8" s="3" t="s">
        <v>26</v>
      </c>
      <c r="C8" s="3">
        <v>1550</v>
      </c>
      <c r="D8" s="4">
        <v>990</v>
      </c>
      <c r="E8" s="4"/>
      <c r="F8" s="4"/>
      <c r="G8" s="4"/>
      <c r="H8" s="4"/>
      <c r="I8" s="4"/>
      <c r="J8" s="4"/>
      <c r="K8" s="4"/>
      <c r="L8" s="4"/>
      <c r="M8" s="4"/>
    </row>
    <row r="9" spans="1:13" x14ac:dyDescent="0.3">
      <c r="A9" s="3">
        <v>108</v>
      </c>
      <c r="B9" s="3" t="s">
        <v>27</v>
      </c>
      <c r="C9" s="3">
        <v>320</v>
      </c>
      <c r="D9" s="4">
        <v>175</v>
      </c>
      <c r="E9" s="4"/>
      <c r="F9" s="4"/>
      <c r="G9" s="4"/>
      <c r="H9" s="4"/>
      <c r="I9" s="4"/>
      <c r="J9" s="4"/>
      <c r="K9" s="4"/>
      <c r="L9" s="4"/>
      <c r="M9" s="4"/>
    </row>
    <row r="10" spans="1:13" x14ac:dyDescent="0.3">
      <c r="A10" s="3">
        <v>109</v>
      </c>
      <c r="B10" s="3" t="s">
        <v>28</v>
      </c>
      <c r="C10" s="3">
        <v>275</v>
      </c>
      <c r="D10" s="4">
        <v>150</v>
      </c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3">
      <c r="A11" s="3">
        <v>110</v>
      </c>
      <c r="B11" s="3" t="s">
        <v>29</v>
      </c>
      <c r="C11" s="3">
        <v>140</v>
      </c>
      <c r="D11" s="4">
        <v>78</v>
      </c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">
      <c r="A12" s="3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3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">
      <c r="A14" s="3"/>
      <c r="B14" s="3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">
      <c r="A15" s="3"/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s="3"/>
      <c r="B16" s="3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">
      <c r="A17" s="3"/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">
      <c r="A18" s="3"/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">
      <c r="A19" s="3"/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3">
      <c r="A20" s="3"/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zoomScaleNormal="100" workbookViewId="0">
      <pane ySplit="1" topLeftCell="A2" activePane="bottomLeft" state="frozen"/>
      <selection pane="bottomLeft" activeCell="E14" sqref="E14"/>
    </sheetView>
  </sheetViews>
  <sheetFormatPr defaultColWidth="8.6640625" defaultRowHeight="14.4" x14ac:dyDescent="0.3"/>
  <cols>
    <col min="1" max="4" width="13" style="2" customWidth="1"/>
    <col min="5" max="5" width="28" style="2" customWidth="1"/>
    <col min="6" max="6" width="15" style="2" customWidth="1"/>
    <col min="7" max="7" width="13" style="2" customWidth="1"/>
    <col min="8" max="8" width="21.44140625" style="2" customWidth="1"/>
    <col min="9" max="9" width="16.109375" style="2" customWidth="1"/>
    <col min="10" max="12" width="13" style="2" customWidth="1"/>
    <col min="13" max="16384" width="8.6640625" style="2"/>
  </cols>
  <sheetData>
    <row r="1" spans="1:12" x14ac:dyDescent="0.3">
      <c r="A1" s="1" t="s">
        <v>30</v>
      </c>
      <c r="B1" s="1" t="s">
        <v>2</v>
      </c>
      <c r="C1" s="1" t="s">
        <v>31</v>
      </c>
      <c r="D1" s="1" t="s">
        <v>32</v>
      </c>
      <c r="E1" s="1" t="s">
        <v>55</v>
      </c>
      <c r="F1" s="1" t="s">
        <v>33</v>
      </c>
      <c r="G1" s="1"/>
      <c r="H1" s="1"/>
      <c r="I1" s="1"/>
      <c r="J1" s="1"/>
      <c r="K1" s="1"/>
      <c r="L1" s="1"/>
    </row>
    <row r="2" spans="1:12" x14ac:dyDescent="0.3">
      <c r="A2" s="3">
        <v>1</v>
      </c>
      <c r="B2" s="3" t="s">
        <v>4</v>
      </c>
      <c r="C2" s="3">
        <v>1</v>
      </c>
      <c r="D2" s="4">
        <v>9</v>
      </c>
      <c r="E2" s="4" t="s">
        <v>57</v>
      </c>
      <c r="F2" s="4">
        <v>5</v>
      </c>
      <c r="G2" s="4"/>
      <c r="H2" s="4"/>
      <c r="I2" s="4"/>
      <c r="J2" s="4"/>
      <c r="K2" s="4"/>
      <c r="L2" s="4"/>
    </row>
    <row r="3" spans="1:12" x14ac:dyDescent="0.3">
      <c r="A3" s="3">
        <v>2</v>
      </c>
      <c r="B3" s="3" t="s">
        <v>4</v>
      </c>
      <c r="C3" s="3">
        <v>10</v>
      </c>
      <c r="D3" s="4">
        <v>49</v>
      </c>
      <c r="E3" s="4" t="s">
        <v>58</v>
      </c>
      <c r="F3" s="4">
        <v>15</v>
      </c>
      <c r="G3" s="4"/>
      <c r="H3" s="4"/>
      <c r="I3" s="4"/>
      <c r="J3" s="4"/>
      <c r="K3" s="4"/>
      <c r="L3" s="4"/>
    </row>
    <row r="4" spans="1:12" x14ac:dyDescent="0.3">
      <c r="A4" s="3">
        <v>3</v>
      </c>
      <c r="B4" s="3" t="s">
        <v>4</v>
      </c>
      <c r="C4" s="3">
        <v>50</v>
      </c>
      <c r="D4" s="4">
        <v>9999</v>
      </c>
      <c r="E4" s="4" t="s">
        <v>59</v>
      </c>
      <c r="F4" s="4">
        <v>25</v>
      </c>
      <c r="G4" s="4"/>
      <c r="H4" s="4"/>
      <c r="I4" s="4"/>
      <c r="J4" s="4"/>
      <c r="K4" s="4"/>
      <c r="L4" s="4"/>
    </row>
    <row r="5" spans="1:12" x14ac:dyDescent="0.3">
      <c r="A5" s="3">
        <v>4</v>
      </c>
      <c r="B5" s="3" t="s">
        <v>9</v>
      </c>
      <c r="C5" s="3">
        <v>1</v>
      </c>
      <c r="D5" s="4">
        <v>9</v>
      </c>
      <c r="E5" s="4" t="s">
        <v>60</v>
      </c>
      <c r="F5" s="4">
        <v>0</v>
      </c>
      <c r="G5" s="4"/>
      <c r="H5" s="4"/>
      <c r="I5" s="4"/>
      <c r="J5" s="4"/>
      <c r="K5" s="4"/>
      <c r="L5" s="4"/>
    </row>
    <row r="6" spans="1:12" x14ac:dyDescent="0.3">
      <c r="A6" s="3">
        <v>5</v>
      </c>
      <c r="B6" s="3" t="s">
        <v>9</v>
      </c>
      <c r="C6" s="3">
        <v>10</v>
      </c>
      <c r="D6" s="4">
        <v>49</v>
      </c>
      <c r="E6" s="4" t="s">
        <v>61</v>
      </c>
      <c r="F6" s="4">
        <v>10</v>
      </c>
      <c r="G6" s="4"/>
      <c r="H6" s="4"/>
      <c r="I6" s="4"/>
      <c r="J6" s="4"/>
      <c r="K6" s="4"/>
      <c r="L6" s="4"/>
    </row>
    <row r="7" spans="1:12" x14ac:dyDescent="0.3">
      <c r="A7" s="3">
        <v>6</v>
      </c>
      <c r="B7" s="3" t="s">
        <v>9</v>
      </c>
      <c r="C7" s="3">
        <v>50</v>
      </c>
      <c r="D7" s="4">
        <v>9999</v>
      </c>
      <c r="E7" s="4" t="s">
        <v>62</v>
      </c>
      <c r="F7" s="4">
        <v>18</v>
      </c>
      <c r="G7" s="4"/>
      <c r="H7" s="4"/>
      <c r="I7" s="4"/>
      <c r="J7" s="4"/>
      <c r="K7" s="4"/>
      <c r="L7" s="4"/>
    </row>
    <row r="8" spans="1:12" x14ac:dyDescent="0.3">
      <c r="A8" s="3">
        <v>7</v>
      </c>
      <c r="B8" s="3" t="s">
        <v>13</v>
      </c>
      <c r="C8" s="3">
        <v>1</v>
      </c>
      <c r="D8" s="4">
        <v>9</v>
      </c>
      <c r="E8" s="4" t="s">
        <v>63</v>
      </c>
      <c r="F8" s="4">
        <v>0</v>
      </c>
      <c r="G8" s="4"/>
      <c r="H8" s="4"/>
      <c r="I8" s="4"/>
      <c r="J8" s="4"/>
      <c r="K8" s="4"/>
      <c r="L8" s="4"/>
    </row>
    <row r="9" spans="1:12" x14ac:dyDescent="0.3">
      <c r="A9" s="3">
        <v>8</v>
      </c>
      <c r="B9" s="3" t="s">
        <v>13</v>
      </c>
      <c r="C9" s="3">
        <v>10</v>
      </c>
      <c r="D9" s="4">
        <v>49</v>
      </c>
      <c r="E9" s="4" t="s">
        <v>64</v>
      </c>
      <c r="F9" s="4">
        <v>5</v>
      </c>
      <c r="G9" s="4"/>
      <c r="H9" s="4"/>
      <c r="I9" s="4"/>
      <c r="J9" s="4"/>
      <c r="K9" s="4"/>
      <c r="L9" s="4"/>
    </row>
    <row r="10" spans="1:12" x14ac:dyDescent="0.3">
      <c r="A10" s="3">
        <v>9</v>
      </c>
      <c r="B10" s="3" t="s">
        <v>13</v>
      </c>
      <c r="C10" s="3">
        <v>50</v>
      </c>
      <c r="D10" s="4">
        <v>9999</v>
      </c>
      <c r="E10" s="4" t="s">
        <v>65</v>
      </c>
      <c r="F10" s="4">
        <v>10</v>
      </c>
      <c r="G10" s="4"/>
      <c r="H10" s="4"/>
      <c r="I10" s="4"/>
      <c r="J10" s="4"/>
      <c r="K10" s="4"/>
      <c r="L10" s="4"/>
    </row>
    <row r="11" spans="1:12" x14ac:dyDescent="0.3">
      <c r="A11" s="3"/>
      <c r="B11" s="3"/>
      <c r="C11" s="3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3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3"/>
      <c r="B14" s="3"/>
      <c r="C14" s="3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A15" s="3"/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3"/>
      <c r="B16" s="3"/>
      <c r="C16" s="3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3"/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3"/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3"/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3"/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E21" s="4"/>
    </row>
    <row r="22" spans="1:12" x14ac:dyDescent="0.3">
      <c r="E22" s="4"/>
    </row>
    <row r="23" spans="1:12" x14ac:dyDescent="0.3">
      <c r="E23" s="4"/>
    </row>
    <row r="24" spans="1:12" x14ac:dyDescent="0.3">
      <c r="E2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"/>
  <sheetViews>
    <sheetView zoomScaleNormal="100" workbookViewId="0">
      <pane ySplit="1" topLeftCell="A2" activePane="bottomLeft" state="frozen"/>
      <selection pane="bottomLeft" activeCell="C20" sqref="C20"/>
    </sheetView>
  </sheetViews>
  <sheetFormatPr defaultColWidth="8.6640625" defaultRowHeight="14.4" x14ac:dyDescent="0.3"/>
  <cols>
    <col min="1" max="4" width="13" style="2" customWidth="1"/>
    <col min="5" max="5" width="15" style="2" customWidth="1"/>
    <col min="6" max="9" width="13" style="2" customWidth="1"/>
    <col min="10" max="10" width="16.109375" style="2" customWidth="1"/>
    <col min="11" max="13" width="13" style="2" customWidth="1"/>
    <col min="14" max="16384" width="8.6640625" style="2"/>
  </cols>
  <sheetData>
    <row r="1" spans="1:13" x14ac:dyDescent="0.3">
      <c r="A1" s="1" t="s">
        <v>34</v>
      </c>
      <c r="B1" s="1" t="s">
        <v>0</v>
      </c>
      <c r="C1" s="1" t="s">
        <v>35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>
        <v>1001</v>
      </c>
      <c r="B2" s="3">
        <v>1</v>
      </c>
      <c r="C2" s="3" t="s">
        <v>36</v>
      </c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3">
      <c r="A3" s="3">
        <v>1002</v>
      </c>
      <c r="B3" s="3">
        <v>2</v>
      </c>
      <c r="C3" s="3" t="s">
        <v>37</v>
      </c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3">
      <c r="A4" s="3">
        <v>1003</v>
      </c>
      <c r="B4" s="3">
        <v>5</v>
      </c>
      <c r="C4" s="3" t="s">
        <v>38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">
      <c r="A5" s="3">
        <v>1004</v>
      </c>
      <c r="B5" s="3">
        <v>8</v>
      </c>
      <c r="C5" s="3" t="s">
        <v>39</v>
      </c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3">
      <c r="A6" s="3">
        <v>1005</v>
      </c>
      <c r="B6" s="3">
        <v>1</v>
      </c>
      <c r="C6" s="3" t="s">
        <v>40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3">
      <c r="A7" s="3">
        <v>1006</v>
      </c>
      <c r="B7" s="3">
        <v>6</v>
      </c>
      <c r="C7" s="3" t="s">
        <v>41</v>
      </c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s="3">
        <v>1007</v>
      </c>
      <c r="B8" s="3">
        <v>9</v>
      </c>
      <c r="C8" s="3" t="s">
        <v>42</v>
      </c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3">
      <c r="A9" s="3">
        <v>1008</v>
      </c>
      <c r="B9" s="3">
        <v>3</v>
      </c>
      <c r="C9" s="3" t="s">
        <v>43</v>
      </c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3">
      <c r="A10" s="3">
        <v>1009</v>
      </c>
      <c r="B10" s="3">
        <v>7</v>
      </c>
      <c r="C10" s="3" t="s">
        <v>44</v>
      </c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3">
      <c r="A11" s="3">
        <v>1010</v>
      </c>
      <c r="B11" s="3">
        <v>10</v>
      </c>
      <c r="C11" s="3" t="s">
        <v>45</v>
      </c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">
      <c r="A12" s="3">
        <v>1011</v>
      </c>
      <c r="B12" s="3">
        <v>4</v>
      </c>
      <c r="C12" s="3" t="s">
        <v>46</v>
      </c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3">
      <c r="A13" s="3">
        <v>1012</v>
      </c>
      <c r="B13" s="3">
        <v>2</v>
      </c>
      <c r="C13" s="3" t="s">
        <v>47</v>
      </c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">
      <c r="A14" s="3">
        <v>1013</v>
      </c>
      <c r="B14" s="3">
        <v>5</v>
      </c>
      <c r="C14" s="3" t="s">
        <v>48</v>
      </c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">
      <c r="A15" s="3">
        <v>1014</v>
      </c>
      <c r="B15" s="3">
        <v>8</v>
      </c>
      <c r="C15" s="3" t="s">
        <v>49</v>
      </c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s="3">
        <v>1015</v>
      </c>
      <c r="B16" s="3">
        <v>3</v>
      </c>
      <c r="C16" s="3" t="s">
        <v>50</v>
      </c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">
      <c r="A17" s="3"/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">
      <c r="A18" s="3"/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">
      <c r="A19" s="3"/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3">
      <c r="A20" s="3"/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"/>
  <sheetViews>
    <sheetView zoomScaleNormal="100" workbookViewId="0">
      <pane ySplit="1" topLeftCell="A2" activePane="bottomLeft" state="frozen"/>
      <selection pane="bottomLeft" activeCell="E18" sqref="E18"/>
    </sheetView>
  </sheetViews>
  <sheetFormatPr defaultColWidth="8.6640625" defaultRowHeight="14.4" x14ac:dyDescent="0.3"/>
  <cols>
    <col min="1" max="4" width="13" style="2" customWidth="1"/>
    <col min="5" max="5" width="15" style="2" customWidth="1"/>
    <col min="6" max="9" width="13" style="2" customWidth="1"/>
    <col min="10" max="10" width="16.109375" style="2" customWidth="1"/>
    <col min="11" max="13" width="13" style="2" customWidth="1"/>
    <col min="14" max="16384" width="8.6640625" style="2"/>
  </cols>
  <sheetData>
    <row r="1" spans="1:13" x14ac:dyDescent="0.3">
      <c r="A1" s="1" t="s">
        <v>34</v>
      </c>
      <c r="B1" s="1" t="s">
        <v>16</v>
      </c>
      <c r="C1" s="1" t="s">
        <v>51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>
        <v>1001</v>
      </c>
      <c r="B2" s="3">
        <v>101</v>
      </c>
      <c r="C2" s="3">
        <v>5</v>
      </c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3">
      <c r="A3" s="3">
        <v>1002</v>
      </c>
      <c r="B3" s="3">
        <v>102</v>
      </c>
      <c r="C3" s="3">
        <v>20</v>
      </c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3">
      <c r="A4" s="3">
        <v>1003</v>
      </c>
      <c r="B4" s="3">
        <v>103</v>
      </c>
      <c r="C4" s="3">
        <v>7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">
      <c r="A5" s="3">
        <v>1004</v>
      </c>
      <c r="B5" s="3">
        <v>104</v>
      </c>
      <c r="C5" s="3">
        <v>15</v>
      </c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3">
      <c r="A6" s="3">
        <v>1005</v>
      </c>
      <c r="B6" s="3">
        <v>105</v>
      </c>
      <c r="C6" s="3">
        <v>10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3">
      <c r="A7" s="3">
        <v>1006</v>
      </c>
      <c r="B7" s="3">
        <v>106</v>
      </c>
      <c r="C7" s="3">
        <v>49</v>
      </c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s="3">
        <v>1007</v>
      </c>
      <c r="B8" s="3">
        <v>107</v>
      </c>
      <c r="C8" s="3">
        <v>30</v>
      </c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3">
      <c r="A9" s="3">
        <v>1008</v>
      </c>
      <c r="B9" s="3">
        <v>101</v>
      </c>
      <c r="C9" s="3">
        <v>60</v>
      </c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3">
      <c r="A10" s="3">
        <v>1009</v>
      </c>
      <c r="B10" s="3">
        <v>104</v>
      </c>
      <c r="C10" s="3">
        <v>55</v>
      </c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3">
      <c r="A11" s="3">
        <v>1010</v>
      </c>
      <c r="B11" s="3">
        <v>108</v>
      </c>
      <c r="C11" s="3">
        <v>3</v>
      </c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">
      <c r="A12" s="3">
        <v>1011</v>
      </c>
      <c r="B12" s="3">
        <v>101</v>
      </c>
      <c r="C12" s="3">
        <v>4</v>
      </c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3">
      <c r="A13" s="3">
        <v>1011</v>
      </c>
      <c r="B13" s="3">
        <v>102</v>
      </c>
      <c r="C13" s="3">
        <v>25</v>
      </c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">
      <c r="A14" s="3">
        <v>1011</v>
      </c>
      <c r="B14" s="3">
        <v>109</v>
      </c>
      <c r="C14" s="3">
        <v>75</v>
      </c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">
      <c r="A15" s="3">
        <v>1012</v>
      </c>
      <c r="B15" s="3">
        <v>110</v>
      </c>
      <c r="C15" s="3">
        <v>9</v>
      </c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s="3">
        <v>1013</v>
      </c>
      <c r="B16" s="3">
        <v>103</v>
      </c>
      <c r="C16" s="3">
        <v>12</v>
      </c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">
      <c r="A17" s="3">
        <v>1013</v>
      </c>
      <c r="B17" s="3">
        <v>105</v>
      </c>
      <c r="C17" s="3">
        <v>2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">
      <c r="A18" s="3">
        <v>1014</v>
      </c>
      <c r="B18" s="3">
        <v>106</v>
      </c>
      <c r="C18" s="3">
        <v>50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">
      <c r="A19" s="3">
        <v>1015</v>
      </c>
      <c r="B19" s="3">
        <v>107</v>
      </c>
      <c r="C19" s="3">
        <v>50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3">
      <c r="A20" s="3">
        <v>1015</v>
      </c>
      <c r="B20" s="3">
        <v>108</v>
      </c>
      <c r="C20" s="3">
        <v>6</v>
      </c>
      <c r="D20" s="4"/>
      <c r="E20" s="4"/>
      <c r="F20" s="4"/>
      <c r="G20" s="4"/>
      <c r="H20" s="4"/>
      <c r="I20" s="4"/>
      <c r="J20" s="4"/>
      <c r="K20" s="4"/>
      <c r="L20" s="4"/>
      <c r="M20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"/>
  <sheetViews>
    <sheetView tabSelected="1" topLeftCell="B1" zoomScaleNormal="100" workbookViewId="0">
      <pane ySplit="1" topLeftCell="A2" activePane="bottomLeft" state="frozen"/>
      <selection pane="bottomLeft" activeCell="E23" sqref="E23"/>
    </sheetView>
  </sheetViews>
  <sheetFormatPr defaultColWidth="8.6640625" defaultRowHeight="14.4" x14ac:dyDescent="0.3"/>
  <cols>
    <col min="1" max="4" width="13" style="2" customWidth="1"/>
    <col min="5" max="5" width="22.109375" style="2" customWidth="1"/>
    <col min="6" max="6" width="13" style="2" customWidth="1"/>
    <col min="7" max="7" width="23" style="2" customWidth="1"/>
    <col min="8" max="9" width="13" style="2" customWidth="1"/>
    <col min="10" max="10" width="16.109375" style="2" customWidth="1"/>
    <col min="11" max="12" width="13" style="2" customWidth="1"/>
    <col min="13" max="13" width="14.77734375" style="2" bestFit="1" customWidth="1"/>
    <col min="14" max="14" width="15.44140625" style="2" customWidth="1"/>
    <col min="15" max="16384" width="8.6640625" style="2"/>
  </cols>
  <sheetData>
    <row r="1" spans="1:14" x14ac:dyDescent="0.3">
      <c r="A1" s="1" t="s">
        <v>34</v>
      </c>
      <c r="B1" s="1" t="s">
        <v>16</v>
      </c>
      <c r="C1" s="1" t="s">
        <v>51</v>
      </c>
      <c r="D1" s="1" t="s">
        <v>0</v>
      </c>
      <c r="E1" s="1" t="s">
        <v>1</v>
      </c>
      <c r="F1" s="1" t="s">
        <v>2</v>
      </c>
      <c r="G1" s="1" t="s">
        <v>17</v>
      </c>
      <c r="H1" s="1" t="s">
        <v>18</v>
      </c>
      <c r="I1" s="1" t="s">
        <v>19</v>
      </c>
      <c r="J1" s="1" t="s">
        <v>33</v>
      </c>
      <c r="K1" s="1" t="s">
        <v>52</v>
      </c>
      <c r="L1" s="1" t="s">
        <v>53</v>
      </c>
      <c r="M1" s="1" t="s">
        <v>54</v>
      </c>
      <c r="N1" s="1" t="s">
        <v>56</v>
      </c>
    </row>
    <row r="2" spans="1:14" x14ac:dyDescent="0.3">
      <c r="A2" s="3">
        <v>1001</v>
      </c>
      <c r="B2" s="3">
        <v>101</v>
      </c>
      <c r="C2" s="3">
        <v>5</v>
      </c>
      <c r="D2" s="4">
        <f>VLOOKUP(A2,Orders!$A$2:$C$16,2,FALSE)</f>
        <v>1</v>
      </c>
      <c r="E2" s="4" t="str">
        <f>VLOOKUP(D2,Customers!$A$1:$C$11,2,FALSE)</f>
        <v>Apex Manufacturing Co</v>
      </c>
      <c r="F2" s="4" t="str">
        <f>VLOOKUP(D2,Customers!$A$2:$C$11,3,FALSE)</f>
        <v>Gold</v>
      </c>
      <c r="G2" s="4" t="str">
        <f>VLOOKUP(B2,Products!$A$2:$D$11,2,FALSE)</f>
        <v>Hydraulic Pump Unit</v>
      </c>
      <c r="H2" s="4">
        <f>VLOOKUP(B2,Products!$A$2:$D$11,3,FALSE)</f>
        <v>1200</v>
      </c>
      <c r="I2" s="4">
        <f>VLOOKUP(B2,Products!$A$2:$D$11,4,FALSE)</f>
        <v>720</v>
      </c>
      <c r="J2" s="4">
        <f>VLOOKUP(N2,PricingRules!$E$2:$F$10,2,FALSE)</f>
        <v>5</v>
      </c>
      <c r="K2" s="4">
        <f>H2*C2-(H2*C2*(J2/100))</f>
        <v>5700</v>
      </c>
      <c r="L2" s="4">
        <f>H2*C2-(H2*C2*(J2/100))-(C2*I2)</f>
        <v>2100</v>
      </c>
      <c r="M2" s="4" t="str">
        <f>IF(J2&gt;20,"Need-Approval","Auto-Approved")</f>
        <v>Auto-Approved</v>
      </c>
      <c r="N2" s="2" t="s">
        <v>57</v>
      </c>
    </row>
    <row r="3" spans="1:14" x14ac:dyDescent="0.3">
      <c r="A3" s="3">
        <v>1002</v>
      </c>
      <c r="B3" s="3">
        <v>102</v>
      </c>
      <c r="C3" s="3">
        <v>20</v>
      </c>
      <c r="D3" s="4">
        <f>VLOOKUP(A3,Orders!$A$2:$C$16,2,FALSE)</f>
        <v>2</v>
      </c>
      <c r="E3" s="4" t="str">
        <f>VLOOKUP(D3,Customers!$A$1:$C$11,2,FALSE)</f>
        <v>Blue Ridge Industrial</v>
      </c>
      <c r="F3" s="4" t="str">
        <f>VLOOKUP(D3,Customers!$A$2:$C$11,3,FALSE)</f>
        <v>Gold</v>
      </c>
      <c r="G3" s="4" t="str">
        <f>VLOOKUP(B3,Products!$A$2:$D$11,2,FALSE)</f>
        <v>Industrial Valve Assembly</v>
      </c>
      <c r="H3" s="4">
        <f>VLOOKUP(B3,Products!$A$2:$D$11,3,FALSE)</f>
        <v>450</v>
      </c>
      <c r="I3" s="4">
        <f>VLOOKUP(B3,Products!$A$2:$D$11,4,FALSE)</f>
        <v>270</v>
      </c>
      <c r="J3" s="4">
        <f>VLOOKUP(N3,PricingRules!$E$2:$F$10,2,FALSE)</f>
        <v>15</v>
      </c>
      <c r="K3" s="4">
        <f t="shared" ref="K3:K20" si="0">H3*C3-(H3*C3*(J3/100))</f>
        <v>7650</v>
      </c>
      <c r="L3" s="4">
        <f t="shared" ref="L3:L20" si="1">H3*C3-(H3*C3*(J3/100))-(C3*I3)</f>
        <v>2250</v>
      </c>
      <c r="M3" s="4" t="str">
        <f t="shared" ref="M3:M20" si="2">IF(J3&gt;20,"Need-Approval","Auto-Approved")</f>
        <v>Auto-Approved</v>
      </c>
      <c r="N3" s="2" t="s">
        <v>58</v>
      </c>
    </row>
    <row r="4" spans="1:14" x14ac:dyDescent="0.3">
      <c r="A4" s="3">
        <v>1003</v>
      </c>
      <c r="B4" s="3">
        <v>103</v>
      </c>
      <c r="C4" s="3">
        <v>7</v>
      </c>
      <c r="D4" s="4">
        <f>VLOOKUP(A4,Orders!$A$2:$C$16,2,FALSE)</f>
        <v>5</v>
      </c>
      <c r="E4" s="4" t="str">
        <f>VLOOKUP(D4,Customers!$A$1:$C$11,2,FALSE)</f>
        <v>Riverside Hardware Ltd</v>
      </c>
      <c r="F4" s="4" t="str">
        <f>VLOOKUP(D4,Customers!$A$2:$C$11,3,FALSE)</f>
        <v>Silver</v>
      </c>
      <c r="G4" s="4" t="str">
        <f>VLOOKUP(B4,Products!$A$2:$D$11,2,FALSE)</f>
        <v>Steel Bearing Set</v>
      </c>
      <c r="H4" s="4">
        <f>VLOOKUP(B4,Products!$A$2:$D$11,3,FALSE)</f>
        <v>85</v>
      </c>
      <c r="I4" s="4">
        <f>VLOOKUP(B4,Products!$A$2:$D$11,4,FALSE)</f>
        <v>48</v>
      </c>
      <c r="J4" s="4">
        <f>VLOOKUP(N4,PricingRules!$E$2:$F$10,2,FALSE)</f>
        <v>0</v>
      </c>
      <c r="K4" s="4">
        <f t="shared" si="0"/>
        <v>595</v>
      </c>
      <c r="L4" s="4">
        <f t="shared" si="1"/>
        <v>259</v>
      </c>
      <c r="M4" s="4" t="str">
        <f t="shared" si="2"/>
        <v>Auto-Approved</v>
      </c>
      <c r="N4" s="2" t="s">
        <v>60</v>
      </c>
    </row>
    <row r="5" spans="1:14" x14ac:dyDescent="0.3">
      <c r="A5" s="3">
        <v>1004</v>
      </c>
      <c r="B5" s="3">
        <v>104</v>
      </c>
      <c r="C5" s="3">
        <v>15</v>
      </c>
      <c r="D5" s="4">
        <f>VLOOKUP(A5,Orders!$A$2:$C$16,2,FALSE)</f>
        <v>8</v>
      </c>
      <c r="E5" s="4" t="str">
        <f>VLOOKUP(D5,Customers!$A$1:$C$11,2,FALSE)</f>
        <v>Daybreak Tools Inc</v>
      </c>
      <c r="F5" s="4" t="str">
        <f>VLOOKUP(D5,Customers!$A$2:$C$11,3,FALSE)</f>
        <v>Bronze</v>
      </c>
      <c r="G5" s="4" t="str">
        <f>VLOOKUP(B5,Products!$A$2:$D$11,2,FALSE)</f>
        <v>Conveyor Belt Motor</v>
      </c>
      <c r="H5" s="4">
        <f>VLOOKUP(B5,Products!$A$2:$D$11,3,FALSE)</f>
        <v>980</v>
      </c>
      <c r="I5" s="4">
        <f>VLOOKUP(B5,Products!$A$2:$D$11,4,FALSE)</f>
        <v>610</v>
      </c>
      <c r="J5" s="4">
        <f>VLOOKUP(N5,PricingRules!$E$2:$F$10,2,FALSE)</f>
        <v>5</v>
      </c>
      <c r="K5" s="4">
        <f t="shared" si="0"/>
        <v>13965</v>
      </c>
      <c r="L5" s="4">
        <f t="shared" si="1"/>
        <v>4815</v>
      </c>
      <c r="M5" s="4" t="str">
        <f t="shared" si="2"/>
        <v>Auto-Approved</v>
      </c>
      <c r="N5" s="2" t="s">
        <v>64</v>
      </c>
    </row>
    <row r="6" spans="1:14" x14ac:dyDescent="0.3">
      <c r="A6" s="3">
        <v>1005</v>
      </c>
      <c r="B6" s="3">
        <v>105</v>
      </c>
      <c r="C6" s="3">
        <v>10</v>
      </c>
      <c r="D6" s="4">
        <f>VLOOKUP(A6,Orders!$A$2:$C$16,2,FALSE)</f>
        <v>1</v>
      </c>
      <c r="E6" s="4" t="str">
        <f>VLOOKUP(D6,Customers!$A$1:$C$11,2,FALSE)</f>
        <v>Apex Manufacturing Co</v>
      </c>
      <c r="F6" s="4" t="str">
        <f>VLOOKUP(D6,Customers!$A$2:$C$11,3,FALSE)</f>
        <v>Gold</v>
      </c>
      <c r="G6" s="4" t="str">
        <f>VLOOKUP(B6,Products!$A$2:$D$11,2,FALSE)</f>
        <v>Pressure Sensor Module</v>
      </c>
      <c r="H6" s="4">
        <f>VLOOKUP(B6,Products!$A$2:$D$11,3,FALSE)</f>
        <v>210</v>
      </c>
      <c r="I6" s="4">
        <f>VLOOKUP(B6,Products!$A$2:$D$11,4,FALSE)</f>
        <v>115</v>
      </c>
      <c r="J6" s="4">
        <f>VLOOKUP(N6,PricingRules!$E$2:$F$10,2,FALSE)</f>
        <v>15</v>
      </c>
      <c r="K6" s="4">
        <f t="shared" si="0"/>
        <v>1785</v>
      </c>
      <c r="L6" s="4">
        <f t="shared" si="1"/>
        <v>635</v>
      </c>
      <c r="M6" s="4" t="str">
        <f t="shared" si="2"/>
        <v>Auto-Approved</v>
      </c>
      <c r="N6" s="2" t="s">
        <v>58</v>
      </c>
    </row>
    <row r="7" spans="1:14" x14ac:dyDescent="0.3">
      <c r="A7" s="3">
        <v>1006</v>
      </c>
      <c r="B7" s="3">
        <v>106</v>
      </c>
      <c r="C7" s="3">
        <v>49</v>
      </c>
      <c r="D7" s="4">
        <f>VLOOKUP(A7,Orders!$A$2:$C$16,2,FALSE)</f>
        <v>6</v>
      </c>
      <c r="E7" s="4" t="str">
        <f>VLOOKUP(D7,Customers!$A$1:$C$11,2,FALSE)</f>
        <v>Coastal Supply Partners</v>
      </c>
      <c r="F7" s="4" t="str">
        <f>VLOOKUP(D7,Customers!$A$2:$C$11,3,FALSE)</f>
        <v>Silver</v>
      </c>
      <c r="G7" s="4" t="str">
        <f>VLOOKUP(B7,Products!$A$2:$D$11,2,FALSE)</f>
        <v>Safety Relay Switch</v>
      </c>
      <c r="H7" s="4">
        <f>VLOOKUP(B7,Products!$A$2:$D$11,3,FALSE)</f>
        <v>65</v>
      </c>
      <c r="I7" s="4">
        <f>VLOOKUP(B7,Products!$A$2:$D$11,4,FALSE)</f>
        <v>34</v>
      </c>
      <c r="J7" s="4">
        <f>VLOOKUP(N7,PricingRules!$E$2:$F$10,2,FALSE)</f>
        <v>10</v>
      </c>
      <c r="K7" s="4">
        <f t="shared" si="0"/>
        <v>2866.5</v>
      </c>
      <c r="L7" s="4">
        <f t="shared" si="1"/>
        <v>1200.5</v>
      </c>
      <c r="M7" s="4" t="str">
        <f t="shared" si="2"/>
        <v>Auto-Approved</v>
      </c>
      <c r="N7" s="2" t="s">
        <v>61</v>
      </c>
    </row>
    <row r="8" spans="1:14" x14ac:dyDescent="0.3">
      <c r="A8" s="3">
        <v>1007</v>
      </c>
      <c r="B8" s="3">
        <v>107</v>
      </c>
      <c r="C8" s="3">
        <v>30</v>
      </c>
      <c r="D8" s="4">
        <f>VLOOKUP(A8,Orders!$A$2:$C$16,2,FALSE)</f>
        <v>9</v>
      </c>
      <c r="E8" s="4" t="str">
        <f>VLOOKUP(D8,Customers!$A$1:$C$11,2,FALSE)</f>
        <v>Garrison Components</v>
      </c>
      <c r="F8" s="4" t="str">
        <f>VLOOKUP(D8,Customers!$A$2:$C$11,3,FALSE)</f>
        <v>Bronze</v>
      </c>
      <c r="G8" s="4" t="str">
        <f>VLOOKUP(B8,Products!$A$2:$D$11,2,FALSE)</f>
        <v>Heavy-Duty Gearbox</v>
      </c>
      <c r="H8" s="4">
        <f>VLOOKUP(B8,Products!$A$2:$D$11,3,FALSE)</f>
        <v>1550</v>
      </c>
      <c r="I8" s="4">
        <f>VLOOKUP(B8,Products!$A$2:$D$11,4,FALSE)</f>
        <v>990</v>
      </c>
      <c r="J8" s="4">
        <f>VLOOKUP(N8,PricingRules!$E$2:$F$10,2,FALSE)</f>
        <v>5</v>
      </c>
      <c r="K8" s="4">
        <f t="shared" si="0"/>
        <v>44175</v>
      </c>
      <c r="L8" s="4">
        <f t="shared" si="1"/>
        <v>14475</v>
      </c>
      <c r="M8" s="4" t="str">
        <f t="shared" si="2"/>
        <v>Auto-Approved</v>
      </c>
      <c r="N8" s="2" t="s">
        <v>64</v>
      </c>
    </row>
    <row r="9" spans="1:14" x14ac:dyDescent="0.3">
      <c r="A9" s="3">
        <v>1008</v>
      </c>
      <c r="B9" s="3">
        <v>101</v>
      </c>
      <c r="C9" s="3">
        <v>60</v>
      </c>
      <c r="D9" s="4">
        <f>VLOOKUP(A9,Orders!$A$2:$C$16,2,FALSE)</f>
        <v>3</v>
      </c>
      <c r="E9" s="4" t="str">
        <f>VLOOKUP(D9,Customers!$A$1:$C$11,2,FALSE)</f>
        <v>Summit Logistics Group</v>
      </c>
      <c r="F9" s="4" t="str">
        <f>VLOOKUP(D9,Customers!$A$2:$C$11,3,FALSE)</f>
        <v>Gold</v>
      </c>
      <c r="G9" s="4" t="str">
        <f>VLOOKUP(B9,Products!$A$2:$D$11,2,FALSE)</f>
        <v>Hydraulic Pump Unit</v>
      </c>
      <c r="H9" s="4">
        <f>VLOOKUP(B9,Products!$A$2:$D$11,3,FALSE)</f>
        <v>1200</v>
      </c>
      <c r="I9" s="4">
        <f>VLOOKUP(B9,Products!$A$2:$D$11,4,FALSE)</f>
        <v>720</v>
      </c>
      <c r="J9" s="4">
        <f>VLOOKUP(N9,PricingRules!$E$2:$F$10,2,FALSE)</f>
        <v>25</v>
      </c>
      <c r="K9" s="4">
        <f t="shared" si="0"/>
        <v>54000</v>
      </c>
      <c r="L9" s="4">
        <f t="shared" si="1"/>
        <v>10800</v>
      </c>
      <c r="M9" s="4" t="str">
        <f t="shared" si="2"/>
        <v>Need-Approval</v>
      </c>
      <c r="N9" s="2" t="s">
        <v>59</v>
      </c>
    </row>
    <row r="10" spans="1:14" x14ac:dyDescent="0.3">
      <c r="A10" s="3">
        <v>1009</v>
      </c>
      <c r="B10" s="3">
        <v>104</v>
      </c>
      <c r="C10" s="3">
        <v>55</v>
      </c>
      <c r="D10" s="4">
        <f>VLOOKUP(A10,Orders!$A$2:$C$16,2,FALSE)</f>
        <v>7</v>
      </c>
      <c r="E10" s="4" t="str">
        <f>VLOOKUP(D10,Customers!$A$1:$C$11,2,FALSE)</f>
        <v>Midwest Fabricators</v>
      </c>
      <c r="F10" s="4" t="str">
        <f>VLOOKUP(D10,Customers!$A$2:$C$11,3,FALSE)</f>
        <v>Silver</v>
      </c>
      <c r="G10" s="4" t="str">
        <f>VLOOKUP(B10,Products!$A$2:$D$11,2,FALSE)</f>
        <v>Conveyor Belt Motor</v>
      </c>
      <c r="H10" s="4">
        <f>VLOOKUP(B10,Products!$A$2:$D$11,3,FALSE)</f>
        <v>980</v>
      </c>
      <c r="I10" s="4">
        <f>VLOOKUP(B10,Products!$A$2:$D$11,4,FALSE)</f>
        <v>610</v>
      </c>
      <c r="J10" s="4">
        <f>VLOOKUP(N10,PricingRules!$E$2:$F$10,2,FALSE)</f>
        <v>18</v>
      </c>
      <c r="K10" s="4">
        <f t="shared" si="0"/>
        <v>44198</v>
      </c>
      <c r="L10" s="4">
        <f t="shared" si="1"/>
        <v>10648</v>
      </c>
      <c r="M10" s="4" t="str">
        <f t="shared" si="2"/>
        <v>Auto-Approved</v>
      </c>
      <c r="N10" s="2" t="s">
        <v>62</v>
      </c>
    </row>
    <row r="11" spans="1:14" x14ac:dyDescent="0.3">
      <c r="A11" s="3">
        <v>1010</v>
      </c>
      <c r="B11" s="3">
        <v>108</v>
      </c>
      <c r="C11" s="3">
        <v>3</v>
      </c>
      <c r="D11" s="4">
        <f>VLOOKUP(A11,Orders!$A$2:$C$16,2,FALSE)</f>
        <v>10</v>
      </c>
      <c r="E11" s="4" t="str">
        <f>VLOOKUP(D11,Customers!$A$1:$C$11,2,FALSE)</f>
        <v>Trailhead Equipment Co</v>
      </c>
      <c r="F11" s="4" t="str">
        <f>VLOOKUP(D11,Customers!$A$2:$C$11,3,FALSE)</f>
        <v>Bronze</v>
      </c>
      <c r="G11" s="4" t="str">
        <f>VLOOKUP(B11,Products!$A$2:$D$11,2,FALSE)</f>
        <v>Control Panel Enclosure</v>
      </c>
      <c r="H11" s="4">
        <f>VLOOKUP(B11,Products!$A$2:$D$11,3,FALSE)</f>
        <v>320</v>
      </c>
      <c r="I11" s="4">
        <f>VLOOKUP(B11,Products!$A$2:$D$11,4,FALSE)</f>
        <v>175</v>
      </c>
      <c r="J11" s="4">
        <f>VLOOKUP(N11,PricingRules!$E$2:$F$10,2,FALSE)</f>
        <v>0</v>
      </c>
      <c r="K11" s="4">
        <f t="shared" si="0"/>
        <v>960</v>
      </c>
      <c r="L11" s="4">
        <f t="shared" si="1"/>
        <v>435</v>
      </c>
      <c r="M11" s="4" t="str">
        <f t="shared" si="2"/>
        <v>Auto-Approved</v>
      </c>
      <c r="N11" s="2" t="s">
        <v>63</v>
      </c>
    </row>
    <row r="12" spans="1:14" x14ac:dyDescent="0.3">
      <c r="A12" s="3">
        <v>1011</v>
      </c>
      <c r="B12" s="3">
        <v>101</v>
      </c>
      <c r="C12" s="3">
        <v>4</v>
      </c>
      <c r="D12" s="4">
        <f>VLOOKUP(A12,Orders!$A$2:$C$16,2,FALSE)</f>
        <v>4</v>
      </c>
      <c r="E12" s="4" t="str">
        <f>VLOOKUP(D12,Customers!$A$1:$C$11,2,FALSE)</f>
        <v>Northgate Equipment</v>
      </c>
      <c r="F12" s="4" t="str">
        <f>VLOOKUP(D12,Customers!$A$2:$C$11,3,FALSE)</f>
        <v>Gold</v>
      </c>
      <c r="G12" s="4" t="str">
        <f>VLOOKUP(B12,Products!$A$2:$D$11,2,FALSE)</f>
        <v>Hydraulic Pump Unit</v>
      </c>
      <c r="H12" s="4">
        <f>VLOOKUP(B12,Products!$A$2:$D$11,3,FALSE)</f>
        <v>1200</v>
      </c>
      <c r="I12" s="4">
        <f>VLOOKUP(B12,Products!$A$2:$D$11,4,FALSE)</f>
        <v>720</v>
      </c>
      <c r="J12" s="4">
        <f>VLOOKUP(N12,PricingRules!$E$2:$F$10,2,FALSE)</f>
        <v>5</v>
      </c>
      <c r="K12" s="4">
        <f t="shared" si="0"/>
        <v>4560</v>
      </c>
      <c r="L12" s="4">
        <f t="shared" si="1"/>
        <v>1680</v>
      </c>
      <c r="M12" s="4" t="str">
        <f t="shared" si="2"/>
        <v>Auto-Approved</v>
      </c>
      <c r="N12" s="2" t="s">
        <v>57</v>
      </c>
    </row>
    <row r="13" spans="1:14" x14ac:dyDescent="0.3">
      <c r="A13" s="3">
        <v>1011</v>
      </c>
      <c r="B13" s="3">
        <v>102</v>
      </c>
      <c r="C13" s="3">
        <v>25</v>
      </c>
      <c r="D13" s="4">
        <f>VLOOKUP(A13,Orders!$A$2:$C$16,2,FALSE)</f>
        <v>4</v>
      </c>
      <c r="E13" s="4" t="str">
        <f>VLOOKUP(D13,Customers!$A$1:$C$11,2,FALSE)</f>
        <v>Northgate Equipment</v>
      </c>
      <c r="F13" s="4" t="str">
        <f>VLOOKUP(D13,Customers!$A$2:$C$11,3,FALSE)</f>
        <v>Gold</v>
      </c>
      <c r="G13" s="4" t="str">
        <f>VLOOKUP(B13,Products!$A$2:$D$11,2,FALSE)</f>
        <v>Industrial Valve Assembly</v>
      </c>
      <c r="H13" s="4">
        <f>VLOOKUP(B13,Products!$A$2:$D$11,3,FALSE)</f>
        <v>450</v>
      </c>
      <c r="I13" s="4">
        <f>VLOOKUP(B13,Products!$A$2:$D$11,4,FALSE)</f>
        <v>270</v>
      </c>
      <c r="J13" s="4">
        <f>VLOOKUP(N13,PricingRules!$E$2:$F$10,2,FALSE)</f>
        <v>15</v>
      </c>
      <c r="K13" s="4">
        <f t="shared" si="0"/>
        <v>9562.5</v>
      </c>
      <c r="L13" s="4">
        <f t="shared" si="1"/>
        <v>2812.5</v>
      </c>
      <c r="M13" s="4" t="str">
        <f t="shared" si="2"/>
        <v>Auto-Approved</v>
      </c>
      <c r="N13" s="2" t="s">
        <v>58</v>
      </c>
    </row>
    <row r="14" spans="1:14" x14ac:dyDescent="0.3">
      <c r="A14" s="3">
        <v>1011</v>
      </c>
      <c r="B14" s="3">
        <v>109</v>
      </c>
      <c r="C14" s="3">
        <v>75</v>
      </c>
      <c r="D14" s="4">
        <f>VLOOKUP(A14,Orders!$A$2:$C$16,2,FALSE)</f>
        <v>4</v>
      </c>
      <c r="E14" s="4" t="str">
        <f>VLOOKUP(D14,Customers!$A$1:$C$11,2,FALSE)</f>
        <v>Northgate Equipment</v>
      </c>
      <c r="F14" s="4" t="str">
        <f>VLOOKUP(D14,Customers!$A$2:$C$11,3,FALSE)</f>
        <v>Gold</v>
      </c>
      <c r="G14" s="4" t="str">
        <f>VLOOKUP(B14,Products!$A$2:$D$11,2,FALSE)</f>
        <v>Pneumatic Cylinder</v>
      </c>
      <c r="H14" s="4">
        <f>VLOOKUP(B14,Products!$A$2:$D$11,3,FALSE)</f>
        <v>275</v>
      </c>
      <c r="I14" s="4">
        <f>VLOOKUP(B14,Products!$A$2:$D$11,4,FALSE)</f>
        <v>150</v>
      </c>
      <c r="J14" s="4">
        <f>VLOOKUP(N14,PricingRules!$E$2:$F$10,2,FALSE)</f>
        <v>25</v>
      </c>
      <c r="K14" s="4">
        <f t="shared" si="0"/>
        <v>15468.75</v>
      </c>
      <c r="L14" s="4">
        <f t="shared" si="1"/>
        <v>4218.75</v>
      </c>
      <c r="M14" s="4" t="str">
        <f t="shared" si="2"/>
        <v>Need-Approval</v>
      </c>
      <c r="N14" s="2" t="s">
        <v>59</v>
      </c>
    </row>
    <row r="15" spans="1:14" x14ac:dyDescent="0.3">
      <c r="A15" s="3">
        <v>1012</v>
      </c>
      <c r="B15" s="3">
        <v>110</v>
      </c>
      <c r="C15" s="3">
        <v>9</v>
      </c>
      <c r="D15" s="4">
        <f>VLOOKUP(A15,Orders!$A$2:$C$16,2,FALSE)</f>
        <v>2</v>
      </c>
      <c r="E15" s="4" t="str">
        <f>VLOOKUP(D15,Customers!$A$1:$C$11,2,FALSE)</f>
        <v>Blue Ridge Industrial</v>
      </c>
      <c r="F15" s="4" t="str">
        <f>VLOOKUP(D15,Customers!$A$2:$C$11,3,FALSE)</f>
        <v>Gold</v>
      </c>
      <c r="G15" s="4" t="str">
        <f>VLOOKUP(B15,Products!$A$2:$D$11,2,FALSE)</f>
        <v>Lubrication Dispenser Kit</v>
      </c>
      <c r="H15" s="4">
        <f>VLOOKUP(B15,Products!$A$2:$D$11,3,FALSE)</f>
        <v>140</v>
      </c>
      <c r="I15" s="4">
        <f>VLOOKUP(B15,Products!$A$2:$D$11,4,FALSE)</f>
        <v>78</v>
      </c>
      <c r="J15" s="4">
        <f>VLOOKUP(N15,PricingRules!$E$2:$F$10,2,FALSE)</f>
        <v>5</v>
      </c>
      <c r="K15" s="4">
        <f t="shared" si="0"/>
        <v>1197</v>
      </c>
      <c r="L15" s="4">
        <f t="shared" si="1"/>
        <v>495</v>
      </c>
      <c r="M15" s="4" t="str">
        <f t="shared" si="2"/>
        <v>Auto-Approved</v>
      </c>
      <c r="N15" s="2" t="s">
        <v>57</v>
      </c>
    </row>
    <row r="16" spans="1:14" x14ac:dyDescent="0.3">
      <c r="A16" s="3">
        <v>1013</v>
      </c>
      <c r="B16" s="3">
        <v>103</v>
      </c>
      <c r="C16" s="3">
        <v>12</v>
      </c>
      <c r="D16" s="4">
        <f>VLOOKUP(A16,Orders!$A$2:$C$16,2,FALSE)</f>
        <v>5</v>
      </c>
      <c r="E16" s="4" t="str">
        <f>VLOOKUP(D16,Customers!$A$1:$C$11,2,FALSE)</f>
        <v>Riverside Hardware Ltd</v>
      </c>
      <c r="F16" s="4" t="str">
        <f>VLOOKUP(D16,Customers!$A$2:$C$11,3,FALSE)</f>
        <v>Silver</v>
      </c>
      <c r="G16" s="4" t="str">
        <f>VLOOKUP(B16,Products!$A$2:$D$11,2,FALSE)</f>
        <v>Steel Bearing Set</v>
      </c>
      <c r="H16" s="4">
        <f>VLOOKUP(B16,Products!$A$2:$D$11,3,FALSE)</f>
        <v>85</v>
      </c>
      <c r="I16" s="4">
        <f>VLOOKUP(B16,Products!$A$2:$D$11,4,FALSE)</f>
        <v>48</v>
      </c>
      <c r="J16" s="4">
        <f>VLOOKUP(N16,PricingRules!$E$2:$F$10,2,FALSE)</f>
        <v>10</v>
      </c>
      <c r="K16" s="4">
        <f t="shared" si="0"/>
        <v>918</v>
      </c>
      <c r="L16" s="4">
        <f t="shared" si="1"/>
        <v>342</v>
      </c>
      <c r="M16" s="4" t="str">
        <f t="shared" si="2"/>
        <v>Auto-Approved</v>
      </c>
      <c r="N16" s="2" t="s">
        <v>61</v>
      </c>
    </row>
    <row r="17" spans="1:14" x14ac:dyDescent="0.3">
      <c r="A17" s="3">
        <v>1013</v>
      </c>
      <c r="B17" s="3">
        <v>105</v>
      </c>
      <c r="C17" s="3">
        <v>2</v>
      </c>
      <c r="D17" s="4">
        <f>VLOOKUP(A17,Orders!$A$2:$C$16,2,FALSE)</f>
        <v>5</v>
      </c>
      <c r="E17" s="4" t="str">
        <f>VLOOKUP(D17,Customers!$A$1:$C$11,2,FALSE)</f>
        <v>Riverside Hardware Ltd</v>
      </c>
      <c r="F17" s="4" t="str">
        <f>VLOOKUP(D17,Customers!$A$2:$C$11,3,FALSE)</f>
        <v>Silver</v>
      </c>
      <c r="G17" s="4" t="str">
        <f>VLOOKUP(B17,Products!$A$2:$D$11,2,FALSE)</f>
        <v>Pressure Sensor Module</v>
      </c>
      <c r="H17" s="4">
        <f>VLOOKUP(B17,Products!$A$2:$D$11,3,FALSE)</f>
        <v>210</v>
      </c>
      <c r="I17" s="4">
        <f>VLOOKUP(B17,Products!$A$2:$D$11,4,FALSE)</f>
        <v>115</v>
      </c>
      <c r="J17" s="4">
        <f>VLOOKUP(N17,PricingRules!$E$2:$F$10,2,FALSE)</f>
        <v>0</v>
      </c>
      <c r="K17" s="4">
        <f t="shared" si="0"/>
        <v>420</v>
      </c>
      <c r="L17" s="4">
        <f t="shared" si="1"/>
        <v>190</v>
      </c>
      <c r="M17" s="4" t="str">
        <f t="shared" si="2"/>
        <v>Auto-Approved</v>
      </c>
      <c r="N17" s="2" t="s">
        <v>60</v>
      </c>
    </row>
    <row r="18" spans="1:14" x14ac:dyDescent="0.3">
      <c r="A18" s="3">
        <v>1014</v>
      </c>
      <c r="B18" s="3">
        <v>106</v>
      </c>
      <c r="C18" s="3">
        <v>50</v>
      </c>
      <c r="D18" s="4">
        <f>VLOOKUP(A18,Orders!$A$2:$C$16,2,FALSE)</f>
        <v>8</v>
      </c>
      <c r="E18" s="4" t="str">
        <f>VLOOKUP(D18,Customers!$A$1:$C$11,2,FALSE)</f>
        <v>Daybreak Tools Inc</v>
      </c>
      <c r="F18" s="4" t="str">
        <f>VLOOKUP(D18,Customers!$A$2:$C$11,3,FALSE)</f>
        <v>Bronze</v>
      </c>
      <c r="G18" s="4" t="str">
        <f>VLOOKUP(B18,Products!$A$2:$D$11,2,FALSE)</f>
        <v>Safety Relay Switch</v>
      </c>
      <c r="H18" s="4">
        <f>VLOOKUP(B18,Products!$A$2:$D$11,3,FALSE)</f>
        <v>65</v>
      </c>
      <c r="I18" s="4">
        <f>VLOOKUP(B18,Products!$A$2:$D$11,4,FALSE)</f>
        <v>34</v>
      </c>
      <c r="J18" s="4">
        <f>VLOOKUP(N18,PricingRules!$E$2:$F$10,2,FALSE)</f>
        <v>10</v>
      </c>
      <c r="K18" s="4">
        <f t="shared" si="0"/>
        <v>2925</v>
      </c>
      <c r="L18" s="4">
        <f t="shared" si="1"/>
        <v>1225</v>
      </c>
      <c r="M18" s="4" t="str">
        <f t="shared" si="2"/>
        <v>Auto-Approved</v>
      </c>
      <c r="N18" s="2" t="s">
        <v>65</v>
      </c>
    </row>
    <row r="19" spans="1:14" x14ac:dyDescent="0.3">
      <c r="A19" s="3">
        <v>1015</v>
      </c>
      <c r="B19" s="3">
        <v>107</v>
      </c>
      <c r="C19" s="3">
        <v>50</v>
      </c>
      <c r="D19" s="4">
        <f>VLOOKUP(A19,Orders!$A$2:$C$16,2,FALSE)</f>
        <v>3</v>
      </c>
      <c r="E19" s="4" t="str">
        <f>VLOOKUP(D19,Customers!$A$1:$C$11,2,FALSE)</f>
        <v>Summit Logistics Group</v>
      </c>
      <c r="F19" s="4" t="str">
        <f>VLOOKUP(D19,Customers!$A$2:$C$11,3,FALSE)</f>
        <v>Gold</v>
      </c>
      <c r="G19" s="4" t="str">
        <f>VLOOKUP(B19,Products!$A$2:$D$11,2,FALSE)</f>
        <v>Heavy-Duty Gearbox</v>
      </c>
      <c r="H19" s="4">
        <f>VLOOKUP(B19,Products!$A$2:$D$11,3,FALSE)</f>
        <v>1550</v>
      </c>
      <c r="I19" s="4">
        <f>VLOOKUP(B19,Products!$A$2:$D$11,4,FALSE)</f>
        <v>990</v>
      </c>
      <c r="J19" s="4">
        <f>VLOOKUP(N19,PricingRules!$E$2:$F$10,2,FALSE)</f>
        <v>25</v>
      </c>
      <c r="K19" s="4">
        <f t="shared" si="0"/>
        <v>58125</v>
      </c>
      <c r="L19" s="4">
        <f t="shared" si="1"/>
        <v>8625</v>
      </c>
      <c r="M19" s="4" t="str">
        <f t="shared" si="2"/>
        <v>Need-Approval</v>
      </c>
      <c r="N19" s="2" t="s">
        <v>59</v>
      </c>
    </row>
    <row r="20" spans="1:14" x14ac:dyDescent="0.3">
      <c r="A20" s="3">
        <v>1015</v>
      </c>
      <c r="B20" s="3">
        <v>108</v>
      </c>
      <c r="C20" s="3">
        <v>6</v>
      </c>
      <c r="D20" s="4">
        <f>VLOOKUP(A20,Orders!$A$2:$C$16,2,FALSE)</f>
        <v>3</v>
      </c>
      <c r="E20" s="4" t="str">
        <f>VLOOKUP(D20,Customers!$A$1:$C$11,2,FALSE)</f>
        <v>Summit Logistics Group</v>
      </c>
      <c r="F20" s="4" t="str">
        <f>VLOOKUP(D20,Customers!$A$2:$C$11,3,FALSE)</f>
        <v>Gold</v>
      </c>
      <c r="G20" s="4" t="str">
        <f>VLOOKUP(B20,Products!$A$2:$D$11,2,FALSE)</f>
        <v>Control Panel Enclosure</v>
      </c>
      <c r="H20" s="4">
        <f>VLOOKUP(B20,Products!$A$2:$D$11,3,FALSE)</f>
        <v>320</v>
      </c>
      <c r="I20" s="4">
        <f>VLOOKUP(B20,Products!$A$2:$D$11,4,FALSE)</f>
        <v>175</v>
      </c>
      <c r="J20" s="4">
        <f>VLOOKUP(N20,PricingRules!$E$2:$F$10,2,FALSE)</f>
        <v>5</v>
      </c>
      <c r="K20" s="4">
        <f t="shared" si="0"/>
        <v>1824</v>
      </c>
      <c r="L20" s="4">
        <f t="shared" si="1"/>
        <v>774</v>
      </c>
      <c r="M20" s="4" t="str">
        <f t="shared" si="2"/>
        <v>Auto-Approved</v>
      </c>
      <c r="N20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Products</vt:lpstr>
      <vt:lpstr>PricingRules</vt:lpstr>
      <vt:lpstr>Orders</vt:lpstr>
      <vt:lpstr>OrderLines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Vivek PF</cp:lastModifiedBy>
  <cp:revision>0</cp:revision>
  <dcterms:created xsi:type="dcterms:W3CDTF">2026-06-21T05:54:27Z</dcterms:created>
  <dcterms:modified xsi:type="dcterms:W3CDTF">2026-06-22T16:13:16Z</dcterms:modified>
  <dc:language>en-US</dc:language>
</cp:coreProperties>
</file>