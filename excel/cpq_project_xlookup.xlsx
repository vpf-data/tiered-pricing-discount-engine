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34AF087E-91AC-4AB7-8919-4DCA2BE366DB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Customers" sheetId="1" r:id="rId1"/>
    <sheet name="Products" sheetId="2" r:id="rId2"/>
    <sheet name="PricingRules" sheetId="3" r:id="rId3"/>
    <sheet name="Orders" sheetId="4" r:id="rId4"/>
    <sheet name="OrderLines" sheetId="5" r:id="rId5"/>
    <sheet name="Calculation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" i="6"/>
  <c r="F3" i="3"/>
  <c r="F4" i="3"/>
  <c r="F5" i="3"/>
  <c r="F6" i="3"/>
  <c r="F7" i="3"/>
  <c r="F8" i="3"/>
  <c r="F9" i="3"/>
  <c r="F10" i="3"/>
  <c r="F2" i="3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" i="6"/>
</calcChain>
</file>

<file path=xl/sharedStrings.xml><?xml version="1.0" encoding="utf-8"?>
<sst xmlns="http://schemas.openxmlformats.org/spreadsheetml/2006/main" count="72" uniqueCount="42">
  <si>
    <t>CustomerID</t>
  </si>
  <si>
    <t>CustomerName</t>
  </si>
  <si>
    <t>Tier</t>
  </si>
  <si>
    <t>Apex Manufacturing Co</t>
  </si>
  <si>
    <t>Gold</t>
  </si>
  <si>
    <t>Blue Ridge Industrial</t>
  </si>
  <si>
    <t>Summit Logistics Group</t>
  </si>
  <si>
    <t>Northgate Equipment</t>
  </si>
  <si>
    <t>Riverside Hardware Ltd</t>
  </si>
  <si>
    <t>Silver</t>
  </si>
  <si>
    <t>Coastal Supply Partners</t>
  </si>
  <si>
    <t>Midwest Fabricators</t>
  </si>
  <si>
    <t>Daybreak Tools Inc</t>
  </si>
  <si>
    <t>Bronze</t>
  </si>
  <si>
    <t>Garrison Components</t>
  </si>
  <si>
    <t>Trailhead Equipment Co</t>
  </si>
  <si>
    <t>ProductID</t>
  </si>
  <si>
    <t>ProductName</t>
  </si>
  <si>
    <t>ListPrice</t>
  </si>
  <si>
    <t>Cost</t>
  </si>
  <si>
    <t>Hydraulic Pump Unit</t>
  </si>
  <si>
    <t>Industrial Valve Assembly</t>
  </si>
  <si>
    <t>Steel Bearing Set</t>
  </si>
  <si>
    <t>Conveyor Belt Motor</t>
  </si>
  <si>
    <t>Pressure Sensor Module</t>
  </si>
  <si>
    <t>Safety Relay Switch</t>
  </si>
  <si>
    <t>Heavy-Duty Gearbox</t>
  </si>
  <si>
    <t>Control Panel Enclosure</t>
  </si>
  <si>
    <t>Pneumatic Cylinder</t>
  </si>
  <si>
    <t>Lubrication Dispenser Kit</t>
  </si>
  <si>
    <t>RuleID</t>
  </si>
  <si>
    <t>MinQty</t>
  </si>
  <si>
    <t>MaxQty</t>
  </si>
  <si>
    <t>DiscountPercent</t>
  </si>
  <si>
    <t>Lookupkey</t>
  </si>
  <si>
    <t>OrderID</t>
  </si>
  <si>
    <t>OrderDate</t>
  </si>
  <si>
    <t>Quantity</t>
  </si>
  <si>
    <t>NetPrice</t>
  </si>
  <si>
    <t>Margin</t>
  </si>
  <si>
    <t>ApprovalFlag</t>
  </si>
  <si>
    <t>LookupKey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</si>
</sst>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FFFFFF"/>
      <name val="Calibri Light"/>
      <scheme val="major"/>
    </font>
    <font>
      <sz val="11"/>
      <name val="Calibri Light"/>
      <scheme val="major"/>
    </font>
    <font>
      <sz val="11"/>
      <color rgb="FF000000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1" fillId="0" borderId="2" xfId="0" applyFont="1" applyFill="1" applyBorder="1" applyAlignment="1"/>
    <xf numFmtId="14" fontId="4" fillId="0" borderId="4" xfId="0" applyNumberFormat="1" applyFont="1" applyFill="1" applyBorder="1" applyAlignment="1"/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14" fontId="5" fillId="0" borderId="2" xfId="0" applyNumberFormat="1" applyFont="1" applyFill="1" applyBorder="1" applyAlignment="1"/>
    <xf numFmtId="0" fontId="4" fillId="0" borderId="4" xfId="0" applyNumberFormat="1" applyFont="1" applyFill="1" applyBorder="1" applyAlignment="1"/>
    <xf numFmtId="0" fontId="5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1" sqref="B11"/>
    </sheetView>
  </sheetViews>
  <sheetFormatPr defaultRowHeight="15"/>
  <cols>
    <col min="1" max="1" width="13" bestFit="1" customWidth="1"/>
    <col min="2" max="2" width="24" bestFit="1" customWidth="1"/>
    <col min="3" max="3" width="7.7109375" bestFit="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>
        <v>1</v>
      </c>
      <c r="B2" s="5" t="s">
        <v>3</v>
      </c>
      <c r="C2" s="5" t="s">
        <v>4</v>
      </c>
    </row>
    <row r="3" spans="1:3">
      <c r="A3" s="4">
        <v>2</v>
      </c>
      <c r="B3" s="5" t="s">
        <v>5</v>
      </c>
      <c r="C3" s="5" t="s">
        <v>4</v>
      </c>
    </row>
    <row r="4" spans="1:3">
      <c r="A4" s="4">
        <v>3</v>
      </c>
      <c r="B4" s="5" t="s">
        <v>6</v>
      </c>
      <c r="C4" s="5" t="s">
        <v>4</v>
      </c>
    </row>
    <row r="5" spans="1:3">
      <c r="A5" s="4">
        <v>4</v>
      </c>
      <c r="B5" s="5" t="s">
        <v>7</v>
      </c>
      <c r="C5" s="5" t="s">
        <v>4</v>
      </c>
    </row>
    <row r="6" spans="1:3">
      <c r="A6" s="4">
        <v>5</v>
      </c>
      <c r="B6" s="5" t="s">
        <v>8</v>
      </c>
      <c r="C6" s="5" t="s">
        <v>9</v>
      </c>
    </row>
    <row r="7" spans="1:3">
      <c r="A7" s="4">
        <v>6</v>
      </c>
      <c r="B7" s="5" t="s">
        <v>10</v>
      </c>
      <c r="C7" s="5" t="s">
        <v>9</v>
      </c>
    </row>
    <row r="8" spans="1:3">
      <c r="A8" s="4">
        <v>7</v>
      </c>
      <c r="B8" s="5" t="s">
        <v>11</v>
      </c>
      <c r="C8" s="5" t="s">
        <v>9</v>
      </c>
    </row>
    <row r="9" spans="1:3">
      <c r="A9" s="4">
        <v>8</v>
      </c>
      <c r="B9" s="5" t="s">
        <v>12</v>
      </c>
      <c r="C9" s="5" t="s">
        <v>13</v>
      </c>
    </row>
    <row r="10" spans="1:3">
      <c r="A10" s="4">
        <v>9</v>
      </c>
      <c r="B10" s="5" t="s">
        <v>14</v>
      </c>
      <c r="C10" s="5" t="s">
        <v>13</v>
      </c>
    </row>
    <row r="11" spans="1:3">
      <c r="A11" s="4">
        <v>10</v>
      </c>
      <c r="B11" s="5" t="s">
        <v>15</v>
      </c>
      <c r="C11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261A-7670-49BB-AC54-5D19567C920D}">
  <dimension ref="A1:E20"/>
  <sheetViews>
    <sheetView workbookViewId="0">
      <selection activeCell="C15" sqref="C15"/>
    </sheetView>
  </sheetViews>
  <sheetFormatPr defaultRowHeight="15"/>
  <cols>
    <col min="1" max="1" width="11.42578125" bestFit="1" customWidth="1"/>
    <col min="2" max="2" width="24.85546875" bestFit="1" customWidth="1"/>
    <col min="3" max="3" width="9.5703125" bestFit="1" customWidth="1"/>
    <col min="4" max="4" width="5.5703125" bestFit="1" customWidth="1"/>
  </cols>
  <sheetData>
    <row r="1" spans="1:5">
      <c r="A1" s="2" t="s">
        <v>16</v>
      </c>
      <c r="B1" s="3" t="s">
        <v>17</v>
      </c>
      <c r="C1" s="3" t="s">
        <v>18</v>
      </c>
      <c r="D1" s="3" t="s">
        <v>19</v>
      </c>
    </row>
    <row r="2" spans="1:5">
      <c r="A2" s="4">
        <v>101</v>
      </c>
      <c r="B2" s="5" t="s">
        <v>20</v>
      </c>
      <c r="C2" s="5">
        <v>1200</v>
      </c>
      <c r="D2" s="5">
        <v>720</v>
      </c>
    </row>
    <row r="3" spans="1:5">
      <c r="A3" s="4">
        <v>102</v>
      </c>
      <c r="B3" s="5" t="s">
        <v>21</v>
      </c>
      <c r="C3" s="5">
        <v>450</v>
      </c>
      <c r="D3" s="5">
        <v>270</v>
      </c>
    </row>
    <row r="4" spans="1:5">
      <c r="A4" s="4">
        <v>103</v>
      </c>
      <c r="B4" s="5" t="s">
        <v>22</v>
      </c>
      <c r="C4" s="5">
        <v>85</v>
      </c>
      <c r="D4" s="5">
        <v>48</v>
      </c>
    </row>
    <row r="5" spans="1:5">
      <c r="A5" s="4">
        <v>104</v>
      </c>
      <c r="B5" s="5" t="s">
        <v>23</v>
      </c>
      <c r="C5" s="5">
        <v>980</v>
      </c>
      <c r="D5" s="5">
        <v>610</v>
      </c>
    </row>
    <row r="6" spans="1:5">
      <c r="A6" s="4">
        <v>105</v>
      </c>
      <c r="B6" s="5" t="s">
        <v>24</v>
      </c>
      <c r="C6" s="5">
        <v>210</v>
      </c>
      <c r="D6" s="5">
        <v>115</v>
      </c>
    </row>
    <row r="7" spans="1:5">
      <c r="A7" s="4">
        <v>106</v>
      </c>
      <c r="B7" s="5" t="s">
        <v>25</v>
      </c>
      <c r="C7" s="5">
        <v>65</v>
      </c>
      <c r="D7" s="5">
        <v>34</v>
      </c>
    </row>
    <row r="8" spans="1:5">
      <c r="A8" s="4">
        <v>107</v>
      </c>
      <c r="B8" s="5" t="s">
        <v>26</v>
      </c>
      <c r="C8" s="5">
        <v>1550</v>
      </c>
      <c r="D8" s="5">
        <v>990</v>
      </c>
    </row>
    <row r="9" spans="1:5">
      <c r="A9" s="4">
        <v>108</v>
      </c>
      <c r="B9" s="5" t="s">
        <v>27</v>
      </c>
      <c r="C9" s="5">
        <v>320</v>
      </c>
      <c r="D9" s="5">
        <v>175</v>
      </c>
    </row>
    <row r="10" spans="1:5">
      <c r="A10" s="4">
        <v>109</v>
      </c>
      <c r="B10" s="5" t="s">
        <v>28</v>
      </c>
      <c r="C10" s="5">
        <v>275</v>
      </c>
      <c r="D10" s="5">
        <v>150</v>
      </c>
      <c r="E10" s="6"/>
    </row>
    <row r="11" spans="1:5">
      <c r="A11" s="4">
        <v>110</v>
      </c>
      <c r="B11" s="5" t="s">
        <v>29</v>
      </c>
      <c r="C11" s="5">
        <v>140</v>
      </c>
      <c r="D11" s="5">
        <v>78</v>
      </c>
      <c r="E11" s="1"/>
    </row>
    <row r="12" spans="1:5">
      <c r="E12" s="1"/>
    </row>
    <row r="13" spans="1:5">
      <c r="E13" s="1"/>
    </row>
    <row r="14" spans="1:5">
      <c r="E14" s="1"/>
    </row>
    <row r="15" spans="1:5">
      <c r="E15" s="1"/>
    </row>
    <row r="16" spans="1:5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688B-1B3C-431D-8DBE-FE6D749D19AB}">
  <dimension ref="A1:F10"/>
  <sheetViews>
    <sheetView workbookViewId="0">
      <selection activeCell="E10" sqref="E10"/>
    </sheetView>
  </sheetViews>
  <sheetFormatPr defaultRowHeight="15"/>
  <cols>
    <col min="1" max="1" width="7.85546875" bestFit="1" customWidth="1"/>
    <col min="2" max="2" width="7.42578125" bestFit="1" customWidth="1"/>
    <col min="3" max="3" width="8.7109375" bestFit="1" customWidth="1"/>
    <col min="5" max="5" width="17.7109375" bestFit="1" customWidth="1"/>
    <col min="6" max="6" width="20.5703125" customWidth="1"/>
  </cols>
  <sheetData>
    <row r="1" spans="1:6">
      <c r="A1" s="2" t="s">
        <v>30</v>
      </c>
      <c r="B1" s="3" t="s">
        <v>2</v>
      </c>
      <c r="C1" s="3" t="s">
        <v>31</v>
      </c>
      <c r="D1" s="3" t="s">
        <v>32</v>
      </c>
      <c r="E1" s="2" t="s">
        <v>33</v>
      </c>
      <c r="F1" s="3" t="s">
        <v>34</v>
      </c>
    </row>
    <row r="2" spans="1:6">
      <c r="A2" s="4">
        <v>1</v>
      </c>
      <c r="B2" s="5" t="s">
        <v>4</v>
      </c>
      <c r="C2" s="5">
        <v>1</v>
      </c>
      <c r="D2" s="5">
        <v>9</v>
      </c>
      <c r="E2" s="4">
        <v>5</v>
      </c>
      <c r="F2" s="5" t="str">
        <f>B2&amp;"-"&amp;C2&amp;"-"&amp;D2</f>
        <v>Gold-1-9</v>
      </c>
    </row>
    <row r="3" spans="1:6">
      <c r="A3" s="4">
        <v>2</v>
      </c>
      <c r="B3" s="5" t="s">
        <v>4</v>
      </c>
      <c r="C3" s="5">
        <v>10</v>
      </c>
      <c r="D3" s="5">
        <v>49</v>
      </c>
      <c r="E3" s="4">
        <v>15</v>
      </c>
      <c r="F3" s="5" t="str">
        <f>B3&amp;"-"&amp;C3&amp;"-"&amp;D3</f>
        <v>Gold-10-49</v>
      </c>
    </row>
    <row r="4" spans="1:6">
      <c r="A4" s="4">
        <v>3</v>
      </c>
      <c r="B4" s="5" t="s">
        <v>4</v>
      </c>
      <c r="C4" s="5">
        <v>50</v>
      </c>
      <c r="D4" s="5">
        <v>9999</v>
      </c>
      <c r="E4" s="4">
        <v>25</v>
      </c>
      <c r="F4" s="5" t="str">
        <f>B4&amp;"-"&amp;C4&amp;"-"&amp;D4</f>
        <v>Gold-50-9999</v>
      </c>
    </row>
    <row r="5" spans="1:6">
      <c r="A5" s="4">
        <v>4</v>
      </c>
      <c r="B5" s="5" t="s">
        <v>9</v>
      </c>
      <c r="C5" s="5">
        <v>1</v>
      </c>
      <c r="D5" s="5">
        <v>9</v>
      </c>
      <c r="E5" s="4">
        <v>0</v>
      </c>
      <c r="F5" s="5" t="str">
        <f>B5&amp;"-"&amp;C5&amp;"-"&amp;D5</f>
        <v>Silver-1-9</v>
      </c>
    </row>
    <row r="6" spans="1:6">
      <c r="A6" s="4">
        <v>5</v>
      </c>
      <c r="B6" s="5" t="s">
        <v>9</v>
      </c>
      <c r="C6" s="5">
        <v>10</v>
      </c>
      <c r="D6" s="5">
        <v>49</v>
      </c>
      <c r="E6" s="4">
        <v>10</v>
      </c>
      <c r="F6" s="5" t="str">
        <f>B6&amp;"-"&amp;C6&amp;"-"&amp;D6</f>
        <v>Silver-10-49</v>
      </c>
    </row>
    <row r="7" spans="1:6">
      <c r="A7" s="4">
        <v>6</v>
      </c>
      <c r="B7" s="5" t="s">
        <v>9</v>
      </c>
      <c r="C7" s="5">
        <v>50</v>
      </c>
      <c r="D7" s="5">
        <v>9999</v>
      </c>
      <c r="E7" s="4">
        <v>18</v>
      </c>
      <c r="F7" s="5" t="str">
        <f>B7&amp;"-"&amp;C7&amp;"-"&amp;D7</f>
        <v>Silver-50-9999</v>
      </c>
    </row>
    <row r="8" spans="1:6">
      <c r="A8" s="4">
        <v>7</v>
      </c>
      <c r="B8" s="5" t="s">
        <v>13</v>
      </c>
      <c r="C8" s="5">
        <v>1</v>
      </c>
      <c r="D8" s="5">
        <v>9</v>
      </c>
      <c r="E8" s="4">
        <v>0</v>
      </c>
      <c r="F8" s="5" t="str">
        <f>B8&amp;"-"&amp;C8&amp;"-"&amp;D8</f>
        <v>Bronze-1-9</v>
      </c>
    </row>
    <row r="9" spans="1:6">
      <c r="A9" s="4">
        <v>8</v>
      </c>
      <c r="B9" s="5" t="s">
        <v>13</v>
      </c>
      <c r="C9" s="5">
        <v>10</v>
      </c>
      <c r="D9" s="5">
        <v>49</v>
      </c>
      <c r="E9" s="4">
        <v>5</v>
      </c>
      <c r="F9" s="5" t="str">
        <f>B9&amp;"-"&amp;C9&amp;"-"&amp;D9</f>
        <v>Bronze-10-49</v>
      </c>
    </row>
    <row r="10" spans="1:6">
      <c r="A10" s="4">
        <v>9</v>
      </c>
      <c r="B10" s="5" t="s">
        <v>13</v>
      </c>
      <c r="C10" s="5">
        <v>50</v>
      </c>
      <c r="D10" s="5">
        <v>9999</v>
      </c>
      <c r="E10" s="4">
        <v>10</v>
      </c>
      <c r="F10" s="5" t="str">
        <f>B10&amp;"-"&amp;C10&amp;"-"&amp;D10</f>
        <v>Bronze-50-9999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48A1-60DD-47EF-8AFC-29FB572FEB37}">
  <dimension ref="A1:C16"/>
  <sheetViews>
    <sheetView workbookViewId="0"/>
  </sheetViews>
  <sheetFormatPr defaultRowHeight="15"/>
  <cols>
    <col min="1" max="1" width="14" customWidth="1"/>
    <col min="2" max="2" width="12.5703125" customWidth="1"/>
    <col min="3" max="3" width="15.140625" customWidth="1"/>
  </cols>
  <sheetData>
    <row r="1" spans="1:3">
      <c r="A1" s="2" t="s">
        <v>35</v>
      </c>
      <c r="B1" s="3" t="s">
        <v>0</v>
      </c>
      <c r="C1" s="3" t="s">
        <v>36</v>
      </c>
    </row>
    <row r="2" spans="1:3">
      <c r="A2" s="4">
        <v>1001</v>
      </c>
      <c r="B2" s="5">
        <v>1</v>
      </c>
      <c r="C2" s="7">
        <v>46027</v>
      </c>
    </row>
    <row r="3" spans="1:3">
      <c r="A3" s="4">
        <v>1002</v>
      </c>
      <c r="B3" s="5">
        <v>2</v>
      </c>
      <c r="C3" s="7">
        <v>46030</v>
      </c>
    </row>
    <row r="4" spans="1:3">
      <c r="A4" s="4">
        <v>1003</v>
      </c>
      <c r="B4" s="5">
        <v>5</v>
      </c>
      <c r="C4" s="7">
        <v>46032</v>
      </c>
    </row>
    <row r="5" spans="1:3">
      <c r="A5" s="4">
        <v>1004</v>
      </c>
      <c r="B5" s="5">
        <v>8</v>
      </c>
      <c r="C5" s="7">
        <v>46034</v>
      </c>
    </row>
    <row r="6" spans="1:3">
      <c r="A6" s="4">
        <v>1005</v>
      </c>
      <c r="B6" s="5">
        <v>1</v>
      </c>
      <c r="C6" s="7">
        <v>46037</v>
      </c>
    </row>
    <row r="7" spans="1:3">
      <c r="A7" s="4">
        <v>1006</v>
      </c>
      <c r="B7" s="5">
        <v>6</v>
      </c>
      <c r="C7" s="7">
        <v>46040</v>
      </c>
    </row>
    <row r="8" spans="1:3">
      <c r="A8" s="4">
        <v>1007</v>
      </c>
      <c r="B8" s="5">
        <v>9</v>
      </c>
      <c r="C8" s="7">
        <v>46042</v>
      </c>
    </row>
    <row r="9" spans="1:3">
      <c r="A9" s="4">
        <v>1008</v>
      </c>
      <c r="B9" s="5">
        <v>3</v>
      </c>
      <c r="C9" s="7">
        <v>46044</v>
      </c>
    </row>
    <row r="10" spans="1:3">
      <c r="A10" s="4">
        <v>1009</v>
      </c>
      <c r="B10" s="5">
        <v>7</v>
      </c>
      <c r="C10" s="7">
        <v>46047</v>
      </c>
    </row>
    <row r="11" spans="1:3">
      <c r="A11" s="8">
        <v>1010</v>
      </c>
      <c r="B11" s="9">
        <v>10</v>
      </c>
      <c r="C11" s="10">
        <v>46050</v>
      </c>
    </row>
    <row r="12" spans="1:3">
      <c r="A12" s="4">
        <v>1011</v>
      </c>
      <c r="B12" s="5">
        <v>4</v>
      </c>
      <c r="C12" s="7">
        <v>46055</v>
      </c>
    </row>
    <row r="13" spans="1:3">
      <c r="A13" s="4">
        <v>1012</v>
      </c>
      <c r="B13" s="5">
        <v>2</v>
      </c>
      <c r="C13" s="7">
        <v>46058</v>
      </c>
    </row>
    <row r="14" spans="1:3">
      <c r="A14" s="4">
        <v>1013</v>
      </c>
      <c r="B14" s="5">
        <v>5</v>
      </c>
      <c r="C14" s="7">
        <v>46061</v>
      </c>
    </row>
    <row r="15" spans="1:3">
      <c r="A15" s="4">
        <v>1014</v>
      </c>
      <c r="B15" s="5">
        <v>8</v>
      </c>
      <c r="C15" s="7">
        <v>46063</v>
      </c>
    </row>
    <row r="16" spans="1:3">
      <c r="A16" s="4">
        <v>1015</v>
      </c>
      <c r="B16" s="5">
        <v>3</v>
      </c>
      <c r="C16" s="7">
        <v>46067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AE5C-BB68-4EC2-92AA-03EC580D084D}">
  <dimension ref="A1:C20"/>
  <sheetViews>
    <sheetView workbookViewId="0">
      <selection activeCell="E18" sqref="E18"/>
    </sheetView>
  </sheetViews>
  <sheetFormatPr defaultRowHeight="15"/>
  <cols>
    <col min="2" max="2" width="11.42578125" bestFit="1" customWidth="1"/>
    <col min="3" max="3" width="10.5703125" bestFit="1" customWidth="1"/>
  </cols>
  <sheetData>
    <row r="1" spans="1:3">
      <c r="A1" s="2" t="s">
        <v>35</v>
      </c>
      <c r="B1" s="3" t="s">
        <v>16</v>
      </c>
      <c r="C1" s="3" t="s">
        <v>37</v>
      </c>
    </row>
    <row r="2" spans="1:3">
      <c r="A2" s="4">
        <v>1001</v>
      </c>
      <c r="B2" s="5">
        <v>101</v>
      </c>
      <c r="C2" s="11">
        <v>5</v>
      </c>
    </row>
    <row r="3" spans="1:3">
      <c r="A3" s="4">
        <v>1002</v>
      </c>
      <c r="B3" s="5">
        <v>102</v>
      </c>
      <c r="C3" s="11">
        <v>20</v>
      </c>
    </row>
    <row r="4" spans="1:3">
      <c r="A4" s="4">
        <v>1003</v>
      </c>
      <c r="B4" s="5">
        <v>103</v>
      </c>
      <c r="C4" s="11">
        <v>7</v>
      </c>
    </row>
    <row r="5" spans="1:3">
      <c r="A5" s="4">
        <v>1004</v>
      </c>
      <c r="B5" s="5">
        <v>104</v>
      </c>
      <c r="C5" s="11">
        <v>15</v>
      </c>
    </row>
    <row r="6" spans="1:3">
      <c r="A6" s="4">
        <v>1005</v>
      </c>
      <c r="B6" s="5">
        <v>105</v>
      </c>
      <c r="C6" s="11">
        <v>10</v>
      </c>
    </row>
    <row r="7" spans="1:3">
      <c r="A7" s="4">
        <v>1006</v>
      </c>
      <c r="B7" s="5">
        <v>106</v>
      </c>
      <c r="C7" s="11">
        <v>49</v>
      </c>
    </row>
    <row r="8" spans="1:3">
      <c r="A8" s="4">
        <v>1007</v>
      </c>
      <c r="B8" s="5">
        <v>107</v>
      </c>
      <c r="C8" s="11">
        <v>30</v>
      </c>
    </row>
    <row r="9" spans="1:3">
      <c r="A9" s="4">
        <v>1008</v>
      </c>
      <c r="B9" s="5">
        <v>101</v>
      </c>
      <c r="C9" s="11">
        <v>60</v>
      </c>
    </row>
    <row r="10" spans="1:3">
      <c r="A10" s="4">
        <v>1009</v>
      </c>
      <c r="B10" s="5">
        <v>104</v>
      </c>
      <c r="C10" s="11">
        <v>55</v>
      </c>
    </row>
    <row r="11" spans="1:3">
      <c r="A11" s="8">
        <v>1010</v>
      </c>
      <c r="B11" s="9">
        <v>108</v>
      </c>
      <c r="C11" s="12">
        <v>3</v>
      </c>
    </row>
    <row r="12" spans="1:3">
      <c r="A12" s="4">
        <v>1011</v>
      </c>
      <c r="B12" s="5">
        <v>101</v>
      </c>
      <c r="C12" s="11">
        <v>4</v>
      </c>
    </row>
    <row r="13" spans="1:3">
      <c r="A13" s="4">
        <v>1011</v>
      </c>
      <c r="B13" s="5">
        <v>102</v>
      </c>
      <c r="C13" s="11">
        <v>25</v>
      </c>
    </row>
    <row r="14" spans="1:3">
      <c r="A14" s="4">
        <v>1011</v>
      </c>
      <c r="B14" s="5">
        <v>109</v>
      </c>
      <c r="C14" s="11">
        <v>75</v>
      </c>
    </row>
    <row r="15" spans="1:3">
      <c r="A15" s="4">
        <v>1012</v>
      </c>
      <c r="B15" s="5">
        <v>110</v>
      </c>
      <c r="C15" s="11">
        <v>9</v>
      </c>
    </row>
    <row r="16" spans="1:3">
      <c r="A16" s="4">
        <v>1013</v>
      </c>
      <c r="B16" s="5">
        <v>103</v>
      </c>
      <c r="C16" s="11">
        <v>12</v>
      </c>
    </row>
    <row r="17" spans="1:3">
      <c r="A17" s="8">
        <v>1013</v>
      </c>
      <c r="B17" s="9">
        <v>105</v>
      </c>
      <c r="C17" s="12">
        <v>2</v>
      </c>
    </row>
    <row r="18" spans="1:3">
      <c r="A18" s="4">
        <v>1014</v>
      </c>
      <c r="B18" s="5">
        <v>106</v>
      </c>
      <c r="C18" s="11">
        <v>50</v>
      </c>
    </row>
    <row r="19" spans="1:3">
      <c r="A19" s="4">
        <v>1015</v>
      </c>
      <c r="B19" s="5">
        <v>107</v>
      </c>
      <c r="C19" s="11">
        <v>50</v>
      </c>
    </row>
    <row r="20" spans="1:3">
      <c r="A20" s="4">
        <v>1015</v>
      </c>
      <c r="B20" s="5">
        <v>108</v>
      </c>
      <c r="C20" s="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7CE2-A0CA-4C79-822E-DE0295133D63}">
  <dimension ref="A1:N20"/>
  <sheetViews>
    <sheetView tabSelected="1" workbookViewId="0">
      <selection activeCell="M2" sqref="M2"/>
    </sheetView>
  </sheetViews>
  <sheetFormatPr defaultRowHeight="15"/>
  <cols>
    <col min="1" max="1" width="9.28515625" bestFit="1" customWidth="1"/>
    <col min="4" max="4" width="13.140625" bestFit="1" customWidth="1"/>
    <col min="5" max="5" width="24.28515625" customWidth="1"/>
    <col min="7" max="7" width="25.28515625" customWidth="1"/>
    <col min="10" max="10" width="17.7109375" bestFit="1" customWidth="1"/>
    <col min="13" max="13" width="14.5703125" bestFit="1" customWidth="1"/>
    <col min="14" max="14" width="16.85546875" customWidth="1"/>
  </cols>
  <sheetData>
    <row r="1" spans="1:14">
      <c r="A1" s="2" t="s">
        <v>35</v>
      </c>
      <c r="B1" s="3" t="s">
        <v>16</v>
      </c>
      <c r="C1" s="3" t="s">
        <v>37</v>
      </c>
      <c r="D1" s="2" t="s">
        <v>0</v>
      </c>
      <c r="E1" s="3" t="s">
        <v>1</v>
      </c>
      <c r="F1" s="3" t="s">
        <v>2</v>
      </c>
      <c r="G1" s="2" t="s">
        <v>17</v>
      </c>
      <c r="H1" s="3" t="s">
        <v>18</v>
      </c>
      <c r="I1" s="3" t="s">
        <v>19</v>
      </c>
      <c r="J1" s="2" t="s">
        <v>33</v>
      </c>
      <c r="K1" s="3" t="s">
        <v>38</v>
      </c>
      <c r="L1" s="3" t="s">
        <v>39</v>
      </c>
      <c r="M1" s="2" t="s">
        <v>40</v>
      </c>
      <c r="N1" s="2" t="s">
        <v>41</v>
      </c>
    </row>
    <row r="2" spans="1:14">
      <c r="A2" s="4">
        <v>1001</v>
      </c>
      <c r="B2" s="5">
        <v>101</v>
      </c>
      <c r="C2" s="5">
        <v>5</v>
      </c>
      <c r="D2" s="4">
        <f>_xlfn.XLOOKUP(A2,Orders!$A$2:$A$16,Orders!$B$2:$B$16)</f>
        <v>1</v>
      </c>
      <c r="E2" s="5" t="str">
        <f>_xlfn.XLOOKUP(D2,Customers!$A$2:$A$11,Customers!$B$2:$B$11,,0)</f>
        <v>Apex Manufacturing Co</v>
      </c>
      <c r="F2" s="5" t="str">
        <f>_xlfn.XLOOKUP(D2,Customers!$A$2:$A$11,Customers!$C$2:$C$11)</f>
        <v>Gold</v>
      </c>
      <c r="G2" s="4" t="str">
        <f>_xlfn.XLOOKUP(B2,Products!$A$2:$A$11,Products!$B$2:$B$11)</f>
        <v>Hydraulic Pump Unit</v>
      </c>
      <c r="H2" s="5">
        <f>_xlfn.XLOOKUP(B2,Products!$A$2:$A$11,Products!$C$2:$C$11)</f>
        <v>1200</v>
      </c>
      <c r="I2" s="5">
        <f>_xlfn.XLOOKUP(B2,Products!$A$2:$A$11,Products!$D$2:$D$11)</f>
        <v>720</v>
      </c>
      <c r="J2" s="4">
        <f>_xlfn.XLOOKUP(N2,PricingRules!$F$2:$F$10,PricingRules!$E$2:$E$10)</f>
        <v>5</v>
      </c>
      <c r="K2" s="5">
        <f>_xlfn.XLOOKUP(B2,Products!$A$2:$A$11,Products!$C$2:$C$11)</f>
        <v>1200</v>
      </c>
      <c r="L2" s="5">
        <f>_xlfn.XLOOKUP(B2,Products!$A$2:$A$11,Products!$D$2:$D$11)</f>
        <v>720</v>
      </c>
      <c r="M2" s="4" t="str">
        <f>IF(J2&gt;20,"Need-Approval","Auto-Approved")</f>
        <v>Auto-Approved</v>
      </c>
      <c r="N2" t="str">
        <f>F2&amp;IF(C2&lt;10,"-1-9",IF(C2&lt;50,"-10-49","-50-9999"))</f>
        <v>Gold-1-9</v>
      </c>
    </row>
    <row r="3" spans="1:14">
      <c r="A3" s="4">
        <v>1002</v>
      </c>
      <c r="B3" s="5">
        <v>102</v>
      </c>
      <c r="C3" s="5">
        <v>20</v>
      </c>
      <c r="D3" s="4">
        <f>_xlfn.XLOOKUP(A3,Orders!$A$2:$A$16,Orders!$B$2:$B$16)</f>
        <v>2</v>
      </c>
      <c r="E3" s="5" t="str">
        <f>_xlfn.XLOOKUP(D3,Customers!$A$2:$A$11,Customers!$B$2:$B$11,,0)</f>
        <v>Blue Ridge Industrial</v>
      </c>
      <c r="F3" s="5" t="str">
        <f>_xlfn.XLOOKUP(D3,Customers!$A$2:$A$11,Customers!$C$2:$C$11)</f>
        <v>Gold</v>
      </c>
      <c r="G3" s="4" t="str">
        <f>_xlfn.XLOOKUP(B3,Products!$A$2:$A$11,Products!$B$2:$B$11)</f>
        <v>Industrial Valve Assembly</v>
      </c>
      <c r="H3" s="5">
        <f>_xlfn.XLOOKUP(B3,Products!$A$2:$A$11,Products!$C$2:$C$11)</f>
        <v>450</v>
      </c>
      <c r="I3" s="5">
        <f>_xlfn.XLOOKUP(B3,Products!$A$2:$A$11,Products!$D$2:$D$11)</f>
        <v>270</v>
      </c>
      <c r="J3" s="4">
        <f>_xlfn.XLOOKUP(N3,PricingRules!$F$2:$F$10,PricingRules!$E$2:$E$10)</f>
        <v>15</v>
      </c>
      <c r="K3" s="5">
        <f>_xlfn.XLOOKUP(B3,Products!$A$2:$A$11,Products!$C$2:$C$11)</f>
        <v>450</v>
      </c>
      <c r="L3" s="5">
        <f>_xlfn.XLOOKUP(B3,Products!$A$2:$A$11,Products!$D$2:$D$11)</f>
        <v>270</v>
      </c>
      <c r="M3" s="4" t="str">
        <f t="shared" ref="M3:M20" si="0">IF(J3&gt;20,"Need-Approval","Auto-Approved")</f>
        <v>Auto-Approved</v>
      </c>
      <c r="N3" t="str">
        <f t="shared" ref="N3:N20" si="1">F3&amp;IF(C3&lt;10,"-1-9",IF(C3&lt;50,"-10-49","-50-9999"))</f>
        <v>Gold-10-49</v>
      </c>
    </row>
    <row r="4" spans="1:14">
      <c r="A4" s="4">
        <v>1003</v>
      </c>
      <c r="B4" s="5">
        <v>103</v>
      </c>
      <c r="C4" s="5">
        <v>7</v>
      </c>
      <c r="D4" s="4">
        <f>_xlfn.XLOOKUP(A4,Orders!$A$2:$A$16,Orders!$B$2:$B$16)</f>
        <v>5</v>
      </c>
      <c r="E4" s="5" t="str">
        <f>_xlfn.XLOOKUP(D4,Customers!$A$2:$A$11,Customers!$B$2:$B$11,,0)</f>
        <v>Riverside Hardware Ltd</v>
      </c>
      <c r="F4" s="5" t="str">
        <f>_xlfn.XLOOKUP(D4,Customers!$A$2:$A$11,Customers!$C$2:$C$11)</f>
        <v>Silver</v>
      </c>
      <c r="G4" s="4" t="str">
        <f>_xlfn.XLOOKUP(B4,Products!$A$2:$A$11,Products!$B$2:$B$11)</f>
        <v>Steel Bearing Set</v>
      </c>
      <c r="H4" s="5">
        <f>_xlfn.XLOOKUP(B4,Products!$A$2:$A$11,Products!$C$2:$C$11)</f>
        <v>85</v>
      </c>
      <c r="I4" s="5">
        <f>_xlfn.XLOOKUP(B4,Products!$A$2:$A$11,Products!$D$2:$D$11)</f>
        <v>48</v>
      </c>
      <c r="J4" s="4">
        <f>_xlfn.XLOOKUP(N4,PricingRules!$F$2:$F$10,PricingRules!$E$2:$E$10)</f>
        <v>0</v>
      </c>
      <c r="K4" s="5">
        <f>_xlfn.XLOOKUP(B4,Products!$A$2:$A$11,Products!$C$2:$C$11)</f>
        <v>85</v>
      </c>
      <c r="L4" s="5">
        <f>_xlfn.XLOOKUP(B4,Products!$A$2:$A$11,Products!$D$2:$D$11)</f>
        <v>48</v>
      </c>
      <c r="M4" s="4" t="str">
        <f t="shared" si="0"/>
        <v>Auto-Approved</v>
      </c>
      <c r="N4" t="str">
        <f t="shared" si="1"/>
        <v>Silver-1-9</v>
      </c>
    </row>
    <row r="5" spans="1:14">
      <c r="A5" s="4">
        <v>1004</v>
      </c>
      <c r="B5" s="5">
        <v>104</v>
      </c>
      <c r="C5" s="5">
        <v>15</v>
      </c>
      <c r="D5" s="4">
        <f>_xlfn.XLOOKUP(A5,Orders!$A$2:$A$16,Orders!$B$2:$B$16)</f>
        <v>8</v>
      </c>
      <c r="E5" s="5" t="str">
        <f>_xlfn.XLOOKUP(D5,Customers!$A$2:$A$11,Customers!$B$2:$B$11,,0)</f>
        <v>Daybreak Tools Inc</v>
      </c>
      <c r="F5" s="5" t="str">
        <f>_xlfn.XLOOKUP(D5,Customers!$A$2:$A$11,Customers!$C$2:$C$11)</f>
        <v>Bronze</v>
      </c>
      <c r="G5" s="4" t="str">
        <f>_xlfn.XLOOKUP(B5,Products!$A$2:$A$11,Products!$B$2:$B$11)</f>
        <v>Conveyor Belt Motor</v>
      </c>
      <c r="H5" s="5">
        <f>_xlfn.XLOOKUP(B5,Products!$A$2:$A$11,Products!$C$2:$C$11)</f>
        <v>980</v>
      </c>
      <c r="I5" s="5">
        <f>_xlfn.XLOOKUP(B5,Products!$A$2:$A$11,Products!$D$2:$D$11)</f>
        <v>610</v>
      </c>
      <c r="J5" s="4">
        <f>_xlfn.XLOOKUP(N5,PricingRules!$F$2:$F$10,PricingRules!$E$2:$E$10)</f>
        <v>5</v>
      </c>
      <c r="K5" s="5">
        <f>_xlfn.XLOOKUP(B5,Products!$A$2:$A$11,Products!$C$2:$C$11)</f>
        <v>980</v>
      </c>
      <c r="L5" s="5">
        <f>_xlfn.XLOOKUP(B5,Products!$A$2:$A$11,Products!$D$2:$D$11)</f>
        <v>610</v>
      </c>
      <c r="M5" s="4" t="str">
        <f t="shared" si="0"/>
        <v>Auto-Approved</v>
      </c>
      <c r="N5" t="str">
        <f t="shared" si="1"/>
        <v>Bronze-10-49</v>
      </c>
    </row>
    <row r="6" spans="1:14">
      <c r="A6" s="4">
        <v>1005</v>
      </c>
      <c r="B6" s="5">
        <v>105</v>
      </c>
      <c r="C6" s="5">
        <v>10</v>
      </c>
      <c r="D6" s="4">
        <f>_xlfn.XLOOKUP(A6,Orders!$A$2:$A$16,Orders!$B$2:$B$16)</f>
        <v>1</v>
      </c>
      <c r="E6" s="5" t="str">
        <f>_xlfn.XLOOKUP(D6,Customers!$A$2:$A$11,Customers!$B$2:$B$11,,0)</f>
        <v>Apex Manufacturing Co</v>
      </c>
      <c r="F6" s="5" t="str">
        <f>_xlfn.XLOOKUP(D6,Customers!$A$2:$A$11,Customers!$C$2:$C$11)</f>
        <v>Gold</v>
      </c>
      <c r="G6" s="4" t="str">
        <f>_xlfn.XLOOKUP(B6,Products!$A$2:$A$11,Products!$B$2:$B$11)</f>
        <v>Pressure Sensor Module</v>
      </c>
      <c r="H6" s="5">
        <f>_xlfn.XLOOKUP(B6,Products!$A$2:$A$11,Products!$C$2:$C$11)</f>
        <v>210</v>
      </c>
      <c r="I6" s="5">
        <f>_xlfn.XLOOKUP(B6,Products!$A$2:$A$11,Products!$D$2:$D$11)</f>
        <v>115</v>
      </c>
      <c r="J6" s="4">
        <f>_xlfn.XLOOKUP(N6,PricingRules!$F$2:$F$10,PricingRules!$E$2:$E$10)</f>
        <v>15</v>
      </c>
      <c r="K6" s="5">
        <f>_xlfn.XLOOKUP(B6,Products!$A$2:$A$11,Products!$C$2:$C$11)</f>
        <v>210</v>
      </c>
      <c r="L6" s="5">
        <f>_xlfn.XLOOKUP(B6,Products!$A$2:$A$11,Products!$D$2:$D$11)</f>
        <v>115</v>
      </c>
      <c r="M6" s="4" t="str">
        <f t="shared" si="0"/>
        <v>Auto-Approved</v>
      </c>
      <c r="N6" t="str">
        <f t="shared" si="1"/>
        <v>Gold-10-49</v>
      </c>
    </row>
    <row r="7" spans="1:14">
      <c r="A7" s="4">
        <v>1006</v>
      </c>
      <c r="B7" s="5">
        <v>106</v>
      </c>
      <c r="C7" s="5">
        <v>49</v>
      </c>
      <c r="D7" s="4">
        <f>_xlfn.XLOOKUP(A7,Orders!$A$2:$A$16,Orders!$B$2:$B$16)</f>
        <v>6</v>
      </c>
      <c r="E7" s="5" t="str">
        <f>_xlfn.XLOOKUP(D7,Customers!$A$2:$A$11,Customers!$B$2:$B$11,,0)</f>
        <v>Coastal Supply Partners</v>
      </c>
      <c r="F7" s="5" t="str">
        <f>_xlfn.XLOOKUP(D7,Customers!$A$2:$A$11,Customers!$C$2:$C$11)</f>
        <v>Silver</v>
      </c>
      <c r="G7" s="4" t="str">
        <f>_xlfn.XLOOKUP(B7,Products!$A$2:$A$11,Products!$B$2:$B$11)</f>
        <v>Safety Relay Switch</v>
      </c>
      <c r="H7" s="5">
        <f>_xlfn.XLOOKUP(B7,Products!$A$2:$A$11,Products!$C$2:$C$11)</f>
        <v>65</v>
      </c>
      <c r="I7" s="5">
        <f>_xlfn.XLOOKUP(B7,Products!$A$2:$A$11,Products!$D$2:$D$11)</f>
        <v>34</v>
      </c>
      <c r="J7" s="4">
        <f>_xlfn.XLOOKUP(N7,PricingRules!$F$2:$F$10,PricingRules!$E$2:$E$10)</f>
        <v>10</v>
      </c>
      <c r="K7" s="5">
        <f>_xlfn.XLOOKUP(B7,Products!$A$2:$A$11,Products!$C$2:$C$11)</f>
        <v>65</v>
      </c>
      <c r="L7" s="5">
        <f>_xlfn.XLOOKUP(B7,Products!$A$2:$A$11,Products!$D$2:$D$11)</f>
        <v>34</v>
      </c>
      <c r="M7" s="4" t="str">
        <f t="shared" si="0"/>
        <v>Auto-Approved</v>
      </c>
      <c r="N7" t="str">
        <f t="shared" si="1"/>
        <v>Silver-10-49</v>
      </c>
    </row>
    <row r="8" spans="1:14">
      <c r="A8" s="4">
        <v>1007</v>
      </c>
      <c r="B8" s="5">
        <v>107</v>
      </c>
      <c r="C8" s="5">
        <v>30</v>
      </c>
      <c r="D8" s="4">
        <f>_xlfn.XLOOKUP(A8,Orders!$A$2:$A$16,Orders!$B$2:$B$16)</f>
        <v>9</v>
      </c>
      <c r="E8" s="5" t="str">
        <f>_xlfn.XLOOKUP(D8,Customers!$A$2:$A$11,Customers!$B$2:$B$11,,0)</f>
        <v>Garrison Components</v>
      </c>
      <c r="F8" s="5" t="str">
        <f>_xlfn.XLOOKUP(D8,Customers!$A$2:$A$11,Customers!$C$2:$C$11)</f>
        <v>Bronze</v>
      </c>
      <c r="G8" s="4" t="str">
        <f>_xlfn.XLOOKUP(B8,Products!$A$2:$A$11,Products!$B$2:$B$11)</f>
        <v>Heavy-Duty Gearbox</v>
      </c>
      <c r="H8" s="5">
        <f>_xlfn.XLOOKUP(B8,Products!$A$2:$A$11,Products!$C$2:$C$11)</f>
        <v>1550</v>
      </c>
      <c r="I8" s="5">
        <f>_xlfn.XLOOKUP(B8,Products!$A$2:$A$11,Products!$D$2:$D$11)</f>
        <v>990</v>
      </c>
      <c r="J8" s="4">
        <f>_xlfn.XLOOKUP(N8,PricingRules!$F$2:$F$10,PricingRules!$E$2:$E$10)</f>
        <v>5</v>
      </c>
      <c r="K8" s="5">
        <f>_xlfn.XLOOKUP(B8,Products!$A$2:$A$11,Products!$C$2:$C$11)</f>
        <v>1550</v>
      </c>
      <c r="L8" s="5">
        <f>_xlfn.XLOOKUP(B8,Products!$A$2:$A$11,Products!$D$2:$D$11)</f>
        <v>990</v>
      </c>
      <c r="M8" s="4" t="str">
        <f t="shared" si="0"/>
        <v>Auto-Approved</v>
      </c>
      <c r="N8" t="str">
        <f t="shared" si="1"/>
        <v>Bronze-10-49</v>
      </c>
    </row>
    <row r="9" spans="1:14">
      <c r="A9" s="4">
        <v>1008</v>
      </c>
      <c r="B9" s="5">
        <v>101</v>
      </c>
      <c r="C9" s="5">
        <v>60</v>
      </c>
      <c r="D9" s="4">
        <f>_xlfn.XLOOKUP(A9,Orders!$A$2:$A$16,Orders!$B$2:$B$16)</f>
        <v>3</v>
      </c>
      <c r="E9" s="5" t="str">
        <f>_xlfn.XLOOKUP(D9,Customers!$A$2:$A$11,Customers!$B$2:$B$11,,0)</f>
        <v>Summit Logistics Group</v>
      </c>
      <c r="F9" s="5" t="str">
        <f>_xlfn.XLOOKUP(D9,Customers!$A$2:$A$11,Customers!$C$2:$C$11)</f>
        <v>Gold</v>
      </c>
      <c r="G9" s="4" t="str">
        <f>_xlfn.XLOOKUP(B9,Products!$A$2:$A$11,Products!$B$2:$B$11)</f>
        <v>Hydraulic Pump Unit</v>
      </c>
      <c r="H9" s="5">
        <f>_xlfn.XLOOKUP(B9,Products!$A$2:$A$11,Products!$C$2:$C$11)</f>
        <v>1200</v>
      </c>
      <c r="I9" s="5">
        <f>_xlfn.XLOOKUP(B9,Products!$A$2:$A$11,Products!$D$2:$D$11)</f>
        <v>720</v>
      </c>
      <c r="J9" s="4">
        <f>_xlfn.XLOOKUP(N9,PricingRules!$F$2:$F$10,PricingRules!$E$2:$E$10)</f>
        <v>25</v>
      </c>
      <c r="K9" s="5">
        <f>_xlfn.XLOOKUP(B9,Products!$A$2:$A$11,Products!$C$2:$C$11)</f>
        <v>1200</v>
      </c>
      <c r="L9" s="5">
        <f>_xlfn.XLOOKUP(B9,Products!$A$2:$A$11,Products!$D$2:$D$11)</f>
        <v>720</v>
      </c>
      <c r="M9" s="4" t="str">
        <f t="shared" si="0"/>
        <v>Need-Approval</v>
      </c>
      <c r="N9" t="str">
        <f t="shared" si="1"/>
        <v>Gold-50-9999</v>
      </c>
    </row>
    <row r="10" spans="1:14">
      <c r="A10" s="4">
        <v>1009</v>
      </c>
      <c r="B10" s="5">
        <v>104</v>
      </c>
      <c r="C10" s="5">
        <v>55</v>
      </c>
      <c r="D10" s="4">
        <f>_xlfn.XLOOKUP(A10,Orders!$A$2:$A$16,Orders!$B$2:$B$16)</f>
        <v>7</v>
      </c>
      <c r="E10" s="5" t="str">
        <f>_xlfn.XLOOKUP(D10,Customers!$A$2:$A$11,Customers!$B$2:$B$11,,0)</f>
        <v>Midwest Fabricators</v>
      </c>
      <c r="F10" s="5" t="str">
        <f>_xlfn.XLOOKUP(D10,Customers!$A$2:$A$11,Customers!$C$2:$C$11)</f>
        <v>Silver</v>
      </c>
      <c r="G10" s="4" t="str">
        <f>_xlfn.XLOOKUP(B10,Products!$A$2:$A$11,Products!$B$2:$B$11)</f>
        <v>Conveyor Belt Motor</v>
      </c>
      <c r="H10" s="5">
        <f>_xlfn.XLOOKUP(B10,Products!$A$2:$A$11,Products!$C$2:$C$11)</f>
        <v>980</v>
      </c>
      <c r="I10" s="5">
        <f>_xlfn.XLOOKUP(B10,Products!$A$2:$A$11,Products!$D$2:$D$11)</f>
        <v>610</v>
      </c>
      <c r="J10" s="4">
        <f>_xlfn.XLOOKUP(N10,PricingRules!$F$2:$F$10,PricingRules!$E$2:$E$10)</f>
        <v>18</v>
      </c>
      <c r="K10" s="5">
        <f>_xlfn.XLOOKUP(B10,Products!$A$2:$A$11,Products!$C$2:$C$11)</f>
        <v>980</v>
      </c>
      <c r="L10" s="5">
        <f>_xlfn.XLOOKUP(B10,Products!$A$2:$A$11,Products!$D$2:$D$11)</f>
        <v>610</v>
      </c>
      <c r="M10" s="4" t="str">
        <f t="shared" si="0"/>
        <v>Auto-Approved</v>
      </c>
      <c r="N10" t="str">
        <f t="shared" si="1"/>
        <v>Silver-50-9999</v>
      </c>
    </row>
    <row r="11" spans="1:14">
      <c r="A11" s="4">
        <v>1010</v>
      </c>
      <c r="B11" s="5">
        <v>108</v>
      </c>
      <c r="C11" s="5">
        <v>3</v>
      </c>
      <c r="D11" s="4">
        <f>_xlfn.XLOOKUP(A11,Orders!$A$2:$A$16,Orders!$B$2:$B$16)</f>
        <v>10</v>
      </c>
      <c r="E11" s="5" t="str">
        <f>_xlfn.XLOOKUP(D11,Customers!$A$2:$A$11,Customers!$B$2:$B$11,,0)</f>
        <v>Trailhead Equipment Co</v>
      </c>
      <c r="F11" s="5" t="str">
        <f>_xlfn.XLOOKUP(D11,Customers!$A$2:$A$11,Customers!$C$2:$C$11)</f>
        <v>Bronze</v>
      </c>
      <c r="G11" s="4" t="str">
        <f>_xlfn.XLOOKUP(B11,Products!$A$2:$A$11,Products!$B$2:$B$11)</f>
        <v>Control Panel Enclosure</v>
      </c>
      <c r="H11" s="5">
        <f>_xlfn.XLOOKUP(B11,Products!$A$2:$A$11,Products!$C$2:$C$11)</f>
        <v>320</v>
      </c>
      <c r="I11" s="5">
        <f>_xlfn.XLOOKUP(B11,Products!$A$2:$A$11,Products!$D$2:$D$11)</f>
        <v>175</v>
      </c>
      <c r="J11" s="4">
        <f>_xlfn.XLOOKUP(N11,PricingRules!$F$2:$F$10,PricingRules!$E$2:$E$10)</f>
        <v>0</v>
      </c>
      <c r="K11" s="5">
        <f>_xlfn.XLOOKUP(B11,Products!$A$2:$A$11,Products!$C$2:$C$11)</f>
        <v>320</v>
      </c>
      <c r="L11" s="5">
        <f>_xlfn.XLOOKUP(B11,Products!$A$2:$A$11,Products!$D$2:$D$11)</f>
        <v>175</v>
      </c>
      <c r="M11" s="4" t="str">
        <f t="shared" si="0"/>
        <v>Auto-Approved</v>
      </c>
      <c r="N11" t="str">
        <f t="shared" si="1"/>
        <v>Bronze-1-9</v>
      </c>
    </row>
    <row r="12" spans="1:14">
      <c r="A12" s="8">
        <v>1011</v>
      </c>
      <c r="B12" s="9">
        <v>101</v>
      </c>
      <c r="C12" s="9">
        <v>4</v>
      </c>
      <c r="D12" s="4">
        <f>_xlfn.XLOOKUP(A12,Orders!$A$2:$A$16,Orders!$B$2:$B$16)</f>
        <v>4</v>
      </c>
      <c r="E12" s="5" t="str">
        <f>_xlfn.XLOOKUP(D12,Customers!$A$2:$A$11,Customers!$B$2:$B$11,,0)</f>
        <v>Northgate Equipment</v>
      </c>
      <c r="F12" s="5" t="str">
        <f>_xlfn.XLOOKUP(D12,Customers!$A$2:$A$11,Customers!$C$2:$C$11)</f>
        <v>Gold</v>
      </c>
      <c r="G12" s="4" t="str">
        <f>_xlfn.XLOOKUP(B12,Products!$A$2:$A$11,Products!$B$2:$B$11)</f>
        <v>Hydraulic Pump Unit</v>
      </c>
      <c r="H12" s="5">
        <f>_xlfn.XLOOKUP(B12,Products!$A$2:$A$11,Products!$C$2:$C$11)</f>
        <v>1200</v>
      </c>
      <c r="I12" s="5">
        <f>_xlfn.XLOOKUP(B12,Products!$A$2:$A$11,Products!$D$2:$D$11)</f>
        <v>720</v>
      </c>
      <c r="J12" s="4">
        <f>_xlfn.XLOOKUP(N12,PricingRules!$F$2:$F$10,PricingRules!$E$2:$E$10)</f>
        <v>5</v>
      </c>
      <c r="K12" s="5">
        <f>_xlfn.XLOOKUP(B12,Products!$A$2:$A$11,Products!$C$2:$C$11)</f>
        <v>1200</v>
      </c>
      <c r="L12" s="5">
        <f>_xlfn.XLOOKUP(B12,Products!$A$2:$A$11,Products!$D$2:$D$11)</f>
        <v>720</v>
      </c>
      <c r="M12" s="4" t="str">
        <f t="shared" si="0"/>
        <v>Auto-Approved</v>
      </c>
      <c r="N12" t="str">
        <f t="shared" si="1"/>
        <v>Gold-1-9</v>
      </c>
    </row>
    <row r="13" spans="1:14">
      <c r="A13" s="4">
        <v>1011</v>
      </c>
      <c r="B13" s="5">
        <v>102</v>
      </c>
      <c r="C13" s="5">
        <v>25</v>
      </c>
      <c r="D13" s="4">
        <f>_xlfn.XLOOKUP(A13,Orders!$A$2:$A$16,Orders!$B$2:$B$16)</f>
        <v>4</v>
      </c>
      <c r="E13" s="5" t="str">
        <f>_xlfn.XLOOKUP(D13,Customers!$A$2:$A$11,Customers!$B$2:$B$11,,0)</f>
        <v>Northgate Equipment</v>
      </c>
      <c r="F13" s="5" t="str">
        <f>_xlfn.XLOOKUP(D13,Customers!$A$2:$A$11,Customers!$C$2:$C$11)</f>
        <v>Gold</v>
      </c>
      <c r="G13" s="4" t="str">
        <f>_xlfn.XLOOKUP(B13,Products!$A$2:$A$11,Products!$B$2:$B$11)</f>
        <v>Industrial Valve Assembly</v>
      </c>
      <c r="H13" s="5">
        <f>_xlfn.XLOOKUP(B13,Products!$A$2:$A$11,Products!$C$2:$C$11)</f>
        <v>450</v>
      </c>
      <c r="I13" s="5">
        <f>_xlfn.XLOOKUP(B13,Products!$A$2:$A$11,Products!$D$2:$D$11)</f>
        <v>270</v>
      </c>
      <c r="J13" s="4">
        <f>_xlfn.XLOOKUP(N13,PricingRules!$F$2:$F$10,PricingRules!$E$2:$E$10)</f>
        <v>15</v>
      </c>
      <c r="K13" s="5">
        <f>_xlfn.XLOOKUP(B13,Products!$A$2:$A$11,Products!$C$2:$C$11)</f>
        <v>450</v>
      </c>
      <c r="L13" s="5">
        <f>_xlfn.XLOOKUP(B13,Products!$A$2:$A$11,Products!$D$2:$D$11)</f>
        <v>270</v>
      </c>
      <c r="M13" s="4" t="str">
        <f t="shared" si="0"/>
        <v>Auto-Approved</v>
      </c>
      <c r="N13" t="str">
        <f t="shared" si="1"/>
        <v>Gold-10-49</v>
      </c>
    </row>
    <row r="14" spans="1:14">
      <c r="A14" s="4">
        <v>1011</v>
      </c>
      <c r="B14" s="5">
        <v>109</v>
      </c>
      <c r="C14" s="5">
        <v>75</v>
      </c>
      <c r="D14" s="4">
        <f>_xlfn.XLOOKUP(A14,Orders!$A$2:$A$16,Orders!$B$2:$B$16)</f>
        <v>4</v>
      </c>
      <c r="E14" s="5" t="str">
        <f>_xlfn.XLOOKUP(D14,Customers!$A$2:$A$11,Customers!$B$2:$B$11,,0)</f>
        <v>Northgate Equipment</v>
      </c>
      <c r="F14" s="5" t="str">
        <f>_xlfn.XLOOKUP(D14,Customers!$A$2:$A$11,Customers!$C$2:$C$11)</f>
        <v>Gold</v>
      </c>
      <c r="G14" s="4" t="str">
        <f>_xlfn.XLOOKUP(B14,Products!$A$2:$A$11,Products!$B$2:$B$11)</f>
        <v>Pneumatic Cylinder</v>
      </c>
      <c r="H14" s="5">
        <f>_xlfn.XLOOKUP(B14,Products!$A$2:$A$11,Products!$C$2:$C$11)</f>
        <v>275</v>
      </c>
      <c r="I14" s="5">
        <f>_xlfn.XLOOKUP(B14,Products!$A$2:$A$11,Products!$D$2:$D$11)</f>
        <v>150</v>
      </c>
      <c r="J14" s="4">
        <f>_xlfn.XLOOKUP(N14,PricingRules!$F$2:$F$10,PricingRules!$E$2:$E$10)</f>
        <v>25</v>
      </c>
      <c r="K14" s="5">
        <f>_xlfn.XLOOKUP(B14,Products!$A$2:$A$11,Products!$C$2:$C$11)</f>
        <v>275</v>
      </c>
      <c r="L14" s="5">
        <f>_xlfn.XLOOKUP(B14,Products!$A$2:$A$11,Products!$D$2:$D$11)</f>
        <v>150</v>
      </c>
      <c r="M14" s="4" t="str">
        <f t="shared" si="0"/>
        <v>Need-Approval</v>
      </c>
      <c r="N14" t="str">
        <f t="shared" si="1"/>
        <v>Gold-50-9999</v>
      </c>
    </row>
    <row r="15" spans="1:14">
      <c r="A15" s="4">
        <v>1012</v>
      </c>
      <c r="B15" s="5">
        <v>110</v>
      </c>
      <c r="C15" s="5">
        <v>9</v>
      </c>
      <c r="D15" s="4">
        <f>_xlfn.XLOOKUP(A15,Orders!$A$2:$A$16,Orders!$B$2:$B$16)</f>
        <v>2</v>
      </c>
      <c r="E15" s="5" t="str">
        <f>_xlfn.XLOOKUP(D15,Customers!$A$2:$A$11,Customers!$B$2:$B$11,,0)</f>
        <v>Blue Ridge Industrial</v>
      </c>
      <c r="F15" s="5" t="str">
        <f>_xlfn.XLOOKUP(D15,Customers!$A$2:$A$11,Customers!$C$2:$C$11)</f>
        <v>Gold</v>
      </c>
      <c r="G15" s="4" t="str">
        <f>_xlfn.XLOOKUP(B15,Products!$A$2:$A$11,Products!$B$2:$B$11)</f>
        <v>Lubrication Dispenser Kit</v>
      </c>
      <c r="H15" s="5">
        <f>_xlfn.XLOOKUP(B15,Products!$A$2:$A$11,Products!$C$2:$C$11)</f>
        <v>140</v>
      </c>
      <c r="I15" s="5">
        <f>_xlfn.XLOOKUP(B15,Products!$A$2:$A$11,Products!$D$2:$D$11)</f>
        <v>78</v>
      </c>
      <c r="J15" s="4">
        <f>_xlfn.XLOOKUP(N15,PricingRules!$F$2:$F$10,PricingRules!$E$2:$E$10)</f>
        <v>5</v>
      </c>
      <c r="K15" s="5">
        <f>_xlfn.XLOOKUP(B15,Products!$A$2:$A$11,Products!$C$2:$C$11)</f>
        <v>140</v>
      </c>
      <c r="L15" s="5">
        <f>_xlfn.XLOOKUP(B15,Products!$A$2:$A$11,Products!$D$2:$D$11)</f>
        <v>78</v>
      </c>
      <c r="M15" s="4" t="str">
        <f t="shared" si="0"/>
        <v>Auto-Approved</v>
      </c>
      <c r="N15" t="str">
        <f t="shared" si="1"/>
        <v>Gold-1-9</v>
      </c>
    </row>
    <row r="16" spans="1:14">
      <c r="A16" s="4">
        <v>1013</v>
      </c>
      <c r="B16" s="5">
        <v>103</v>
      </c>
      <c r="C16" s="5">
        <v>12</v>
      </c>
      <c r="D16" s="4">
        <f>_xlfn.XLOOKUP(A16,Orders!$A$2:$A$16,Orders!$B$2:$B$16)</f>
        <v>5</v>
      </c>
      <c r="E16" s="5" t="str">
        <f>_xlfn.XLOOKUP(D16,Customers!$A$2:$A$11,Customers!$B$2:$B$11,,0)</f>
        <v>Riverside Hardware Ltd</v>
      </c>
      <c r="F16" s="5" t="str">
        <f>_xlfn.XLOOKUP(D16,Customers!$A$2:$A$11,Customers!$C$2:$C$11)</f>
        <v>Silver</v>
      </c>
      <c r="G16" s="4" t="str">
        <f>_xlfn.XLOOKUP(B16,Products!$A$2:$A$11,Products!$B$2:$B$11)</f>
        <v>Steel Bearing Set</v>
      </c>
      <c r="H16" s="5">
        <f>_xlfn.XLOOKUP(B16,Products!$A$2:$A$11,Products!$C$2:$C$11)</f>
        <v>85</v>
      </c>
      <c r="I16" s="5">
        <f>_xlfn.XLOOKUP(B16,Products!$A$2:$A$11,Products!$D$2:$D$11)</f>
        <v>48</v>
      </c>
      <c r="J16" s="4">
        <f>_xlfn.XLOOKUP(N16,PricingRules!$F$2:$F$10,PricingRules!$E$2:$E$10)</f>
        <v>10</v>
      </c>
      <c r="K16" s="5">
        <f>_xlfn.XLOOKUP(B16,Products!$A$2:$A$11,Products!$C$2:$C$11)</f>
        <v>85</v>
      </c>
      <c r="L16" s="5">
        <f>_xlfn.XLOOKUP(B16,Products!$A$2:$A$11,Products!$D$2:$D$11)</f>
        <v>48</v>
      </c>
      <c r="M16" s="4" t="str">
        <f t="shared" si="0"/>
        <v>Auto-Approved</v>
      </c>
      <c r="N16" t="str">
        <f t="shared" si="1"/>
        <v>Silver-10-49</v>
      </c>
    </row>
    <row r="17" spans="1:14">
      <c r="A17" s="4">
        <v>1013</v>
      </c>
      <c r="B17" s="5">
        <v>105</v>
      </c>
      <c r="C17" s="5">
        <v>2</v>
      </c>
      <c r="D17" s="4">
        <f>_xlfn.XLOOKUP(A17,Orders!$A$2:$A$16,Orders!$B$2:$B$16)</f>
        <v>5</v>
      </c>
      <c r="E17" s="5" t="str">
        <f>_xlfn.XLOOKUP(D17,Customers!$A$2:$A$11,Customers!$B$2:$B$11,,0)</f>
        <v>Riverside Hardware Ltd</v>
      </c>
      <c r="F17" s="5" t="str">
        <f>_xlfn.XLOOKUP(D17,Customers!$A$2:$A$11,Customers!$C$2:$C$11)</f>
        <v>Silver</v>
      </c>
      <c r="G17" s="4" t="str">
        <f>_xlfn.XLOOKUP(B17,Products!$A$2:$A$11,Products!$B$2:$B$11)</f>
        <v>Pressure Sensor Module</v>
      </c>
      <c r="H17" s="5">
        <f>_xlfn.XLOOKUP(B17,Products!$A$2:$A$11,Products!$C$2:$C$11)</f>
        <v>210</v>
      </c>
      <c r="I17" s="5">
        <f>_xlfn.XLOOKUP(B17,Products!$A$2:$A$11,Products!$D$2:$D$11)</f>
        <v>115</v>
      </c>
      <c r="J17" s="4">
        <f>_xlfn.XLOOKUP(N17,PricingRules!$F$2:$F$10,PricingRules!$E$2:$E$10)</f>
        <v>0</v>
      </c>
      <c r="K17" s="5">
        <f>_xlfn.XLOOKUP(B17,Products!$A$2:$A$11,Products!$C$2:$C$11)</f>
        <v>210</v>
      </c>
      <c r="L17" s="5">
        <f>_xlfn.XLOOKUP(B17,Products!$A$2:$A$11,Products!$D$2:$D$11)</f>
        <v>115</v>
      </c>
      <c r="M17" s="4" t="str">
        <f t="shared" si="0"/>
        <v>Auto-Approved</v>
      </c>
      <c r="N17" t="str">
        <f t="shared" si="1"/>
        <v>Silver-1-9</v>
      </c>
    </row>
    <row r="18" spans="1:14">
      <c r="A18" s="4">
        <v>1014</v>
      </c>
      <c r="B18" s="5">
        <v>106</v>
      </c>
      <c r="C18" s="5">
        <v>50</v>
      </c>
      <c r="D18" s="4">
        <f>_xlfn.XLOOKUP(A18,Orders!$A$2:$A$16,Orders!$B$2:$B$16)</f>
        <v>8</v>
      </c>
      <c r="E18" s="5" t="str">
        <f>_xlfn.XLOOKUP(D18,Customers!$A$2:$A$11,Customers!$B$2:$B$11,,0)</f>
        <v>Daybreak Tools Inc</v>
      </c>
      <c r="F18" s="5" t="str">
        <f>_xlfn.XLOOKUP(D18,Customers!$A$2:$A$11,Customers!$C$2:$C$11)</f>
        <v>Bronze</v>
      </c>
      <c r="G18" s="4" t="str">
        <f>_xlfn.XLOOKUP(B18,Products!$A$2:$A$11,Products!$B$2:$B$11)</f>
        <v>Safety Relay Switch</v>
      </c>
      <c r="H18" s="5">
        <f>_xlfn.XLOOKUP(B18,Products!$A$2:$A$11,Products!$C$2:$C$11)</f>
        <v>65</v>
      </c>
      <c r="I18" s="5">
        <f>_xlfn.XLOOKUP(B18,Products!$A$2:$A$11,Products!$D$2:$D$11)</f>
        <v>34</v>
      </c>
      <c r="J18" s="4">
        <f>_xlfn.XLOOKUP(N18,PricingRules!$F$2:$F$10,PricingRules!$E$2:$E$10)</f>
        <v>10</v>
      </c>
      <c r="K18" s="5">
        <f>_xlfn.XLOOKUP(B18,Products!$A$2:$A$11,Products!$C$2:$C$11)</f>
        <v>65</v>
      </c>
      <c r="L18" s="5">
        <f>_xlfn.XLOOKUP(B18,Products!$A$2:$A$11,Products!$D$2:$D$11)</f>
        <v>34</v>
      </c>
      <c r="M18" s="4" t="str">
        <f t="shared" si="0"/>
        <v>Auto-Approved</v>
      </c>
      <c r="N18" t="str">
        <f t="shared" si="1"/>
        <v>Bronze-50-9999</v>
      </c>
    </row>
    <row r="19" spans="1:14">
      <c r="A19" s="4">
        <v>1015</v>
      </c>
      <c r="B19" s="5">
        <v>107</v>
      </c>
      <c r="C19" s="5">
        <v>50</v>
      </c>
      <c r="D19" s="4">
        <f>_xlfn.XLOOKUP(A19,Orders!$A$2:$A$16,Orders!$B$2:$B$16)</f>
        <v>3</v>
      </c>
      <c r="E19" s="5" t="str">
        <f>_xlfn.XLOOKUP(D19,Customers!$A$2:$A$11,Customers!$B$2:$B$11,,0)</f>
        <v>Summit Logistics Group</v>
      </c>
      <c r="F19" s="5" t="str">
        <f>_xlfn.XLOOKUP(D19,Customers!$A$2:$A$11,Customers!$C$2:$C$11)</f>
        <v>Gold</v>
      </c>
      <c r="G19" s="4" t="str">
        <f>_xlfn.XLOOKUP(B19,Products!$A$2:$A$11,Products!$B$2:$B$11)</f>
        <v>Heavy-Duty Gearbox</v>
      </c>
      <c r="H19" s="5">
        <f>_xlfn.XLOOKUP(B19,Products!$A$2:$A$11,Products!$C$2:$C$11)</f>
        <v>1550</v>
      </c>
      <c r="I19" s="5">
        <f>_xlfn.XLOOKUP(B19,Products!$A$2:$A$11,Products!$D$2:$D$11)</f>
        <v>990</v>
      </c>
      <c r="J19" s="4">
        <f>_xlfn.XLOOKUP(N19,PricingRules!$F$2:$F$10,PricingRules!$E$2:$E$10)</f>
        <v>25</v>
      </c>
      <c r="K19" s="5">
        <f>_xlfn.XLOOKUP(B19,Products!$A$2:$A$11,Products!$C$2:$C$11)</f>
        <v>1550</v>
      </c>
      <c r="L19" s="5">
        <f>_xlfn.XLOOKUP(B19,Products!$A$2:$A$11,Products!$D$2:$D$11)</f>
        <v>990</v>
      </c>
      <c r="M19" s="4" t="str">
        <f t="shared" si="0"/>
        <v>Need-Approval</v>
      </c>
      <c r="N19" t="str">
        <f t="shared" si="1"/>
        <v>Gold-50-9999</v>
      </c>
    </row>
    <row r="20" spans="1:14">
      <c r="A20" s="4">
        <v>1015</v>
      </c>
      <c r="B20" s="5">
        <v>108</v>
      </c>
      <c r="C20" s="5">
        <v>6</v>
      </c>
      <c r="D20" s="4">
        <f>_xlfn.XLOOKUP(A20,Orders!$A$2:$A$16,Orders!$B$2:$B$16)</f>
        <v>3</v>
      </c>
      <c r="E20" s="5" t="str">
        <f>_xlfn.XLOOKUP(D20,Customers!$A$2:$A$11,Customers!$B$2:$B$11,,0)</f>
        <v>Summit Logistics Group</v>
      </c>
      <c r="F20" s="5" t="str">
        <f>_xlfn.XLOOKUP(D20,Customers!$A$2:$A$11,Customers!$C$2:$C$11)</f>
        <v>Gold</v>
      </c>
      <c r="G20" s="4" t="str">
        <f>_xlfn.XLOOKUP(B20,Products!$A$2:$A$11,Products!$B$2:$B$11)</f>
        <v>Control Panel Enclosure</v>
      </c>
      <c r="H20" s="5">
        <f>_xlfn.XLOOKUP(B20,Products!$A$2:$A$11,Products!$C$2:$C$11)</f>
        <v>320</v>
      </c>
      <c r="I20" s="5">
        <f>_xlfn.XLOOKUP(B20,Products!$A$2:$A$11,Products!$D$2:$D$11)</f>
        <v>175</v>
      </c>
      <c r="J20" s="4">
        <f>_xlfn.XLOOKUP(N20,PricingRules!$F$2:$F$10,PricingRules!$E$2:$E$10)</f>
        <v>5</v>
      </c>
      <c r="K20" s="5">
        <f>_xlfn.XLOOKUP(B20,Products!$A$2:$A$11,Products!$C$2:$C$11)</f>
        <v>320</v>
      </c>
      <c r="L20" s="5">
        <f>_xlfn.XLOOKUP(B20,Products!$A$2:$A$11,Products!$D$2:$D$11)</f>
        <v>175</v>
      </c>
      <c r="M20" s="4" t="str">
        <f t="shared" si="0"/>
        <v>Auto-Approved</v>
      </c>
      <c r="N20" t="str">
        <f t="shared" si="1"/>
        <v>Gold-1-9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2026-06-22T17:26:04Z</dcterms:created>
  <dcterms:modified xsi:type="dcterms:W3CDTF">2026-06-23T07:47:13Z</dcterms:modified>
  <cp:category/>
  <cp:contentStatus/>
</cp:coreProperties>
</file>